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arch Criteria" sheetId="2" state="visible" r:id="rId4"/>
    <sheet name="Scoring Weights" sheetId="3" state="visible" r:id="rId5"/>
    <sheet name="Shortlist" sheetId="4" state="visible" r:id="rId6"/>
    <sheet name="Top 10 Compare" sheetId="5" state="visible" r:id="rId7"/>
    <sheet name="Model Benchmarks" sheetId="6" state="visible" r:id="rId8"/>
    <sheet name="All Cars" sheetId="7" state="visible" r:id="rId9"/>
  </sheets>
  <definedNames>
    <definedName function="false" hidden="true" localSheetId="6" name="_xlnm._FilterDatabase" vbProcedure="false">'All Cars'!$A$4:$BE$266</definedName>
    <definedName function="false" hidden="true" localSheetId="5" name="_xlnm._FilterDatabase" vbProcedure="false">'Model Benchmarks'!$A$4:$K$23</definedName>
    <definedName function="false" hidden="true" localSheetId="3" name="_xlnm._FilterDatabase" vbProcedure="false">Shortlist!$A$4:$AB$40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<sst xmlns="http://schemas.openxmlformats.org/spreadsheetml/2006/main" count="8791" uniqueCount="915">
  <si>
    <t xml:space="preserve">Bella's Car Search</t>
  </si>
  <si>
    <t xml:space="preserve">Live CARFAX inventory - 2022+ Toyota / Honda / Subaru SUVs within 75 miles of Elkhart, IN</t>
  </si>
  <si>
    <t xml:space="preserve">Data pulled</t>
  </si>
  <si>
    <t xml:space="preserve">September 14, 2026 from CARFAX used-car listings</t>
  </si>
  <si>
    <t xml:space="preserve">Search area</t>
  </si>
  <si>
    <t xml:space="preserve">Elkhart, IN 46514 - 75 mile radius (South Bend, Mishawaka, Goshen, Warsaw, Fort Wayne, Kalamazoo, Niles)</t>
  </si>
  <si>
    <t xml:space="preserve">The Funnel</t>
  </si>
  <si>
    <t xml:space="preserve">Filter applied</t>
  </si>
  <si>
    <t xml:space="preserve">Cars remaining</t>
  </si>
  <si>
    <t xml:space="preserve">All 2022+ RAV4 / 4Runner / CR-V / HR-V / Outback under $40k in radius</t>
  </si>
  <si>
    <t xml:space="preserve">...that are AWD or 4WD</t>
  </si>
  <si>
    <t xml:space="preserve">...with no accidents reported</t>
  </si>
  <si>
    <t xml:space="preserve">...with service history on file</t>
  </si>
  <si>
    <t xml:space="preserve">...under your mileage cap (Toyota 100k / Honda 70k / Subaru 50k)</t>
  </si>
  <si>
    <t xml:space="preserve">...rated GOOD or GREAT value by CARFAX</t>
  </si>
  <si>
    <t xml:space="preserve">...with heated seats</t>
  </si>
  <si>
    <t xml:space="preserve">...with Apple CarPlay (standard on all of these - no cars lost)</t>
  </si>
  <si>
    <t xml:space="preserve">...that are also Certified Pre-Owned</t>
  </si>
  <si>
    <t xml:space="preserve">Certified Pre-Owned is scored as a strong bonus rather than a hard filter, so the Shortlist holds 36 cars and the 6 certified ones float near the top. To see only CPO, set "Require Certified Pre-Owned" to TRUE on the Search Criteria tab.</t>
  </si>
  <si>
    <t xml:space="preserve">The Tabs</t>
  </si>
  <si>
    <t xml:space="preserve">Shortlist</t>
  </si>
  <si>
    <t xml:space="preserve">The 36 cars that meet every one of your criteria, ranked best first. Start here.</t>
  </si>
  <si>
    <t xml:space="preserve">Top 10 Compare</t>
  </si>
  <si>
    <t xml:space="preserve">The ten best side by side - price, miles, history, features, dealer - for a quick head-to-head.</t>
  </si>
  <si>
    <t xml:space="preserve">All Cars</t>
  </si>
  <si>
    <t xml:space="preserve">All 262 listings with every data point. Use the filter arrows to explore or loosen a requirement.</t>
  </si>
  <si>
    <t xml:space="preserve">Search Criteria</t>
  </si>
  <si>
    <t xml:space="preserve">The yellow cells that drive the YES/no "Meets All" column. Change a cap and the whole sheet re-flags.</t>
  </si>
  <si>
    <t xml:space="preserve">Scoring Weights</t>
  </si>
  <si>
    <t xml:space="preserve">The yellow cells that drive the Score. Change a weight and every car instantly re-ranks.</t>
  </si>
  <si>
    <t xml:space="preserve">Model Benchmarks</t>
  </si>
  <si>
    <t xml:space="preserve">What each model-year actually sells for here, so you can tell a real deal from a normal price.</t>
  </si>
  <si>
    <t xml:space="preserve">How the Score Works</t>
  </si>
  <si>
    <t xml:space="preserve">Every car gets six sub-scores from 0 to 100, blended using the weights you set. The weighting follows the priority you gave: reliability first, then price, then mileage, then features.</t>
  </si>
  <si>
    <t xml:space="preserve">Component</t>
  </si>
  <si>
    <t xml:space="preserve">What it measures</t>
  </si>
  <si>
    <t xml:space="preserve">Weight</t>
  </si>
  <si>
    <t xml:space="preserve">Reliability &amp; History</t>
  </si>
  <si>
    <t xml:space="preserve">CARFAX's model reliability rating, projected repair cost and risk (60%), blended with this specific car's history - accident-free, one owner, personal use, how many service records (40%).</t>
  </si>
  <si>
    <t xml:space="preserve">Price / Value</t>
  </si>
  <si>
    <t xml:space="preserve">The CARFAX Great/Good/Fair value badge (55%), blended with how far below the going rate it is priced (45%). The going rate is fitted from the 262 real listings in this sheet, adjusting for year and mileage.</t>
  </si>
  <si>
    <t xml:space="preserve">Mileage</t>
  </si>
  <si>
    <t xml:space="preserve">Miles against your cap for that make (70%), plus miles-per-year against a 12,000/yr normal (30%).</t>
  </si>
  <si>
    <t xml:space="preserve">Certified Pre-Owned</t>
  </si>
  <si>
    <t xml:space="preserve">100 if factory certified, 0 if not.</t>
  </si>
  <si>
    <t xml:space="preserve">Features</t>
  </si>
  <si>
    <t xml:space="preserve">Heated steering, sunroof, blind spot, power liftgate, leather, remote start, navigation, wireless charging, parking sensors, power seat, premium audio.</t>
  </si>
  <si>
    <t xml:space="preserve">Distance</t>
  </si>
  <si>
    <t xml:space="preserve">100 at your doorstep, 0 at 75 miles. Tiebreaker only.</t>
  </si>
  <si>
    <t xml:space="preserve">Live Counts</t>
  </si>
  <si>
    <t xml:space="preserve">Cars meeting every criterion</t>
  </si>
  <si>
    <t xml:space="preserve">Of those, Certified Pre-Owned</t>
  </si>
  <si>
    <t xml:space="preserve">Total listings tracked</t>
  </si>
  <si>
    <t xml:space="preserve">These recalculate from the Search Criteria tab, so you can see instantly how many cars survive a change before you go looking.</t>
  </si>
  <si>
    <t xml:space="preserve">Before You Buy - Read This</t>
  </si>
  <si>
    <t xml:space="preserve">Verify CPO with the dealer</t>
  </si>
  <si>
    <t xml:space="preserve">CARFAX flags certification from the dealer feed. Confirm it is manufacturer certified (Toyota TCUV, Honda HondaTrue, Subaru Certified) and not a dealer in-house warranty - the warranty difference is significant.</t>
  </si>
  <si>
    <t xml:space="preserve">Features come from the trim, not the VIN</t>
  </si>
  <si>
    <t xml:space="preserve">Heated seats, sunroof and the rest are read from the factory equipment list for that trim. It is accurate for standard equipment but can miss optional packages. Confirm on the window sticker.</t>
  </si>
  <si>
    <t xml:space="preserve">"Est. Market" is our estimate, not CARFAX</t>
  </si>
  <si>
    <t xml:space="preserve">It is a fit across the 262 listings here, adjusting for year and mileage within each model. Treat it as a sanity check on the asking price, not an appraisal.</t>
  </si>
  <si>
    <t xml:space="preserve">Prices move</t>
  </si>
  <si>
    <t xml:space="preserve">Listings change daily and the good ones go fast. The "Days Listed" and "Price Drop" columns tell you which have been sitting - those have the most negotiating room.</t>
  </si>
  <si>
    <t xml:space="preserve">Get a pre-purchase inspection</t>
  </si>
  <si>
    <t xml:space="preserve">Even on a certified car with clean history, an independent inspection is the best $150 you will spend.</t>
  </si>
  <si>
    <t xml:space="preserve">Mileage caps are yours, not the market</t>
  </si>
  <si>
    <t xml:space="preserve">Your Subaru cap of 50k is tight and cuts a lot of Outbacks. If you like the Outback, loosening that cap on the Search Criteria tab opens up more.</t>
  </si>
  <si>
    <t xml:space="preserve">Edit the yellow cells. Every YES/NO in the "Meets All" column recalculates from these.</t>
  </si>
  <si>
    <t xml:space="preserve">Filter</t>
  </si>
  <si>
    <t xml:space="preserve">Value</t>
  </si>
  <si>
    <t xml:space="preserve">Notes</t>
  </si>
  <si>
    <t xml:space="preserve">Max Price ($)</t>
  </si>
  <si>
    <t xml:space="preserve">Listing price, before tax/title/doc fee.</t>
  </si>
  <si>
    <t xml:space="preserve">Min Year</t>
  </si>
  <si>
    <t xml:space="preserve">Model year.</t>
  </si>
  <si>
    <t xml:space="preserve">Max Distance (mi)</t>
  </si>
  <si>
    <t xml:space="preserve">Straight-line distance from Elkhart, IN 46514.</t>
  </si>
  <si>
    <t xml:space="preserve">Require AWD / 4WD</t>
  </si>
  <si>
    <t xml:space="preserve">TRUE or FALSE.</t>
  </si>
  <si>
    <t xml:space="preserve">Require No Accidents</t>
  </si>
  <si>
    <t xml:space="preserve">No accident or damage reported to CARFAX.</t>
  </si>
  <si>
    <t xml:space="preserve">Require Service History</t>
  </si>
  <si>
    <t xml:space="preserve">At least one service record on file.</t>
  </si>
  <si>
    <t xml:space="preserve">Require Heated Seats</t>
  </si>
  <si>
    <t xml:space="preserve">From the trim equipment list.</t>
  </si>
  <si>
    <t xml:space="preserve">Require Good/Great Value</t>
  </si>
  <si>
    <t xml:space="preserve">CARFAX's own value badge must be GOOD or GREAT.</t>
  </si>
  <si>
    <t xml:space="preserve">Require Certified Pre-Owned</t>
  </si>
  <si>
    <t xml:space="preserve">Set TRUE to see only CPO cars (that leaves 6).</t>
  </si>
  <si>
    <t xml:space="preserve">Mileage Cap by Make</t>
  </si>
  <si>
    <t xml:space="preserve">Make</t>
  </si>
  <si>
    <t xml:space="preserve">Max Miles</t>
  </si>
  <si>
    <t xml:space="preserve">Toyota</t>
  </si>
  <si>
    <t xml:space="preserve">Your stated cap.</t>
  </si>
  <si>
    <t xml:space="preserve">Honda</t>
  </si>
  <si>
    <t xml:space="preserve">Subaru</t>
  </si>
  <si>
    <t xml:space="preserve">Models searched: Toyota 4Runner, Toyota RAV4, Honda HR-V, Honda CR-V, Subaru Outback.</t>
  </si>
  <si>
    <t xml:space="preserve">Apple CarPlay is standard on every 2022+ car in all five of these model lines, so it never eliminates anyone. It is shown as a column for confirmation.</t>
  </si>
  <si>
    <t xml:space="preserve">Edit the yellow cells to re-rank every car instantly. They should add to 100.</t>
  </si>
  <si>
    <t xml:space="preserve">CARFAX model reliability rating, projected repair cost and risk (60%) blended with this car's own history - accident-free, one owner, personal use, number of service records (40%). Your #1 priority.</t>
  </si>
  <si>
    <t xml:space="preserve">CARFAX Great/Good/Fair value badge (55%) blended with how far the asking price sits below what a same-model car of that year and mileage typically lists for (45%). Your #2 priority.</t>
  </si>
  <si>
    <t xml:space="preserve">Miles against your cap for that make (70%) blended with miles-per-year against a 12,000/yr normal (30%). Your #3 priority.</t>
  </si>
  <si>
    <t xml:space="preserve">100 if factory certified, 0 if not. Weighted heavily so CPO cars rise, without excluding good non-CPO cars.</t>
  </si>
  <si>
    <t xml:space="preserve">Heated steering, sunroof, blind spot, power liftgate, leather, remote start, nav, wireless charging, parking sensors, power seat, premium audio. Your #4 priority.</t>
  </si>
  <si>
    <t xml:space="preserve">100 at your doorstep down to 0 at 75 miles. Tiebreaker only.</t>
  </si>
  <si>
    <t xml:space="preserve">TOTAL</t>
  </si>
  <si>
    <t xml:space="preserve">Shortlist - 36 Cars That Meet Every Criterion</t>
  </si>
  <si>
    <t xml:space="preserve">AWD/4WD, no accidents, service history on file, under your mileage cap for the make, GOOD or GREAT value, heated seats, Apple CarPlay. Ranked best-value first. Certified cars are marked and scored higher.</t>
  </si>
  <si>
    <t xml:space="preserve">Rank</t>
  </si>
  <si>
    <t xml:space="preserve">Score</t>
  </si>
  <si>
    <t xml:space="preserve">Still Meets</t>
  </si>
  <si>
    <t xml:space="preserve">Year</t>
  </si>
  <si>
    <t xml:space="preserve">Model</t>
  </si>
  <si>
    <t xml:space="preserve">Trim</t>
  </si>
  <si>
    <t xml:space="preserve">Price</t>
  </si>
  <si>
    <t xml:space="preserve">Miles/Yr</t>
  </si>
  <si>
    <t xml:space="preserve">CPO</t>
  </si>
  <si>
    <t xml:space="preserve">Value Badge</t>
  </si>
  <si>
    <t xml:space="preserve">vs Market</t>
  </si>
  <si>
    <t xml:space="preserve">Reliability</t>
  </si>
  <si>
    <t xml:space="preserve">Owners</t>
  </si>
  <si>
    <t xml:space="preserve">Service Recs</t>
  </si>
  <si>
    <t xml:space="preserve">Sunroof/Moonroof</t>
  </si>
  <si>
    <t xml:space="preserve">Leather</t>
  </si>
  <si>
    <t xml:space="preserve">Power Liftgate</t>
  </si>
  <si>
    <t xml:space="preserve">Blind Spot</t>
  </si>
  <si>
    <t xml:space="preserve">Fuel</t>
  </si>
  <si>
    <t xml:space="preserve">MPG</t>
  </si>
  <si>
    <t xml:space="preserve">Dealer</t>
  </si>
  <si>
    <t xml:space="preserve">City</t>
  </si>
  <si>
    <t xml:space="preserve">Miles Away</t>
  </si>
  <si>
    <t xml:space="preserve">Est. Monthly</t>
  </si>
  <si>
    <t xml:space="preserve">CarFax Link</t>
  </si>
  <si>
    <t xml:space="preserve">Listing URL</t>
  </si>
  <si>
    <t xml:space="preserve">2026 Honda CR-V EXL</t>
  </si>
  <si>
    <t xml:space="preserve">https://www.carfax.com/vehicle/2HKRS4H73TH412625</t>
  </si>
  <si>
    <t xml:space="preserve">2025 Honda CR-V EX</t>
  </si>
  <si>
    <t xml:space="preserve">https://www.carfax.com/vehicle/5J6RS4H46SL018336</t>
  </si>
  <si>
    <t xml:space="preserve">2025 Subaru Outback Limited</t>
  </si>
  <si>
    <t xml:space="preserve">https://www.carfax.com/vehicle/4S4BTANC7S3132470</t>
  </si>
  <si>
    <t xml:space="preserve">2024 Honda CR-V Sport</t>
  </si>
  <si>
    <t xml:space="preserve">https://www.carfax.com/vehicle/7FARS6H5XRE073206</t>
  </si>
  <si>
    <t xml:space="preserve">2026 Honda CR-V TrailSport</t>
  </si>
  <si>
    <t xml:space="preserve">https://www.carfax.com/vehicle/7FARS6H69TE031075</t>
  </si>
  <si>
    <t xml:space="preserve">2023 Honda CR-V Sport Touring</t>
  </si>
  <si>
    <t xml:space="preserve">https://www.carfax.com/vehicle/5J6RS6H93PL004196</t>
  </si>
  <si>
    <t xml:space="preserve">https://www.carfax.com/vehicle/7FARS4H4XSE002962</t>
  </si>
  <si>
    <t xml:space="preserve">2025 Honda CR-V Sport-L</t>
  </si>
  <si>
    <t xml:space="preserve">https://www.carfax.com/vehicle/7FARS6H82SE006423</t>
  </si>
  <si>
    <t xml:space="preserve">2024 Toyota RAV4 Limited Edition</t>
  </si>
  <si>
    <t xml:space="preserve">https://www.carfax.com/vehicle/2T3N1RFV3RW451961</t>
  </si>
  <si>
    <t xml:space="preserve">2024 Honda CR-V Sport-L</t>
  </si>
  <si>
    <t xml:space="preserve">https://www.carfax.com/vehicle/7FARS6H8XRE020161</t>
  </si>
  <si>
    <t xml:space="preserve">2023 Honda CR-V EXL</t>
  </si>
  <si>
    <t xml:space="preserve">https://www.carfax.com/vehicle/5J6RS4H76PL000890</t>
  </si>
  <si>
    <t xml:space="preserve">2024 Honda CR-V Sport Touring</t>
  </si>
  <si>
    <t xml:space="preserve">https://www.carfax.com/vehicle/7FARS6H92RE014122</t>
  </si>
  <si>
    <t xml:space="preserve">https://www.carfax.com/vehicle/7FARS6H84RE043984</t>
  </si>
  <si>
    <t xml:space="preserve">2025 Toyota RAV4 XLE</t>
  </si>
  <si>
    <t xml:space="preserve">https://www.carfax.com/vehicle/4T3RWRFV4SU211732</t>
  </si>
  <si>
    <t xml:space="preserve">https://www.carfax.com/vehicle/JTMRWRFV5SD591595</t>
  </si>
  <si>
    <t xml:space="preserve">2025 Subaru Outback Onyx Edition</t>
  </si>
  <si>
    <t xml:space="preserve">https://www.carfax.com/vehicle/4S4BTALC4S3182780</t>
  </si>
  <si>
    <t xml:space="preserve">https://www.carfax.com/vehicle/7FARS6H88SE008967</t>
  </si>
  <si>
    <t xml:space="preserve">https://www.carfax.com/vehicle/4S4BTALC3S3187209</t>
  </si>
  <si>
    <t xml:space="preserve">2025 Toyota RAV4 XLE Premium</t>
  </si>
  <si>
    <t xml:space="preserve">https://www.carfax.com/vehicle/2T3A1RFV1SW502278</t>
  </si>
  <si>
    <t xml:space="preserve">https://www.carfax.com/vehicle/7FARS6H56RE044785</t>
  </si>
  <si>
    <t xml:space="preserve">https://www.carfax.com/vehicle/7FARS6H89SE024319</t>
  </si>
  <si>
    <t xml:space="preserve">2024 Subaru Outback Limited XT</t>
  </si>
  <si>
    <t xml:space="preserve">https://www.carfax.com/vehicle/4S4BTGND3R3143827</t>
  </si>
  <si>
    <t xml:space="preserve">2022 Honda CR-V EXL</t>
  </si>
  <si>
    <t xml:space="preserve">https://www.carfax.com/vehicle/5J6RW2H87NA000701</t>
  </si>
  <si>
    <t xml:space="preserve">https://www.carfax.com/vehicle/7FARS6H86SE022138</t>
  </si>
  <si>
    <t xml:space="preserve">2025 Honda HR-V Sport</t>
  </si>
  <si>
    <t xml:space="preserve">https://www.carfax.com/vehicle/3CZRZ2H51SM757265</t>
  </si>
  <si>
    <t xml:space="preserve">https://www.carfax.com/vehicle/2T3P1RFV7SC536558</t>
  </si>
  <si>
    <t xml:space="preserve">2023 Honda CR-V EX</t>
  </si>
  <si>
    <t xml:space="preserve">https://www.carfax.com/vehicle/7FARS4H46PE011892</t>
  </si>
  <si>
    <t xml:space="preserve">https://www.carfax.com/vehicle/2HKRS4H49SH430180</t>
  </si>
  <si>
    <t xml:space="preserve">2022 Toyota 4Runner TRD Off Road Premium</t>
  </si>
  <si>
    <t xml:space="preserve">https://www.carfax.com/vehicle/JTERU5JR4N6047375</t>
  </si>
  <si>
    <t xml:space="preserve">https://www.carfax.com/vehicle/2HKRS4H44SH448795</t>
  </si>
  <si>
    <t xml:space="preserve">https://www.carfax.com/vehicle/5J6RT6H88NL023795</t>
  </si>
  <si>
    <t xml:space="preserve">2024 Subaru Outback Premium</t>
  </si>
  <si>
    <t xml:space="preserve">https://www.carfax.com/vehicle/4S4BTAFC6R3136342</t>
  </si>
  <si>
    <t xml:space="preserve">2024 Subaru Outback Onyx Edition</t>
  </si>
  <si>
    <t xml:space="preserve">https://www.carfax.com/vehicle/4S4BTALC5R3189893</t>
  </si>
  <si>
    <t xml:space="preserve">https://www.carfax.com/vehicle/5J6RS6H84RL038433</t>
  </si>
  <si>
    <t xml:space="preserve">2023 Subaru Outback Premium</t>
  </si>
  <si>
    <t xml:space="preserve">https://www.carfax.com/vehicle/4S4BTADC9P3197765</t>
  </si>
  <si>
    <t xml:space="preserve">https://www.carfax.com/vehicle/4S4BTAFC1R3240916</t>
  </si>
  <si>
    <t xml:space="preserve">"Still Meets" recalculates from the Search Criteria tab. If you tighten a filter, rows that no longer qualify turn red here rather than disappearing - check the All Cars tab for anything new that qualifies.</t>
  </si>
  <si>
    <t xml:space="preserve">Top 10 Head-to-Head</t>
  </si>
  <si>
    <t xml:space="preserve">The ten highest-scoring cars from the Shortlist, side by side. Everything here is live-linked to All Cars.</t>
  </si>
  <si>
    <t xml:space="preserve">Attribute</t>
  </si>
  <si>
    <t xml:space="preserve">#1  2026 Honda CR-V EXL</t>
  </si>
  <si>
    <t xml:space="preserve">#2  2025 Honda CR-V EX</t>
  </si>
  <si>
    <t xml:space="preserve">#3  2025 Subaru Outback Limited</t>
  </si>
  <si>
    <t xml:space="preserve">#4  2024 Honda CR-V Sport</t>
  </si>
  <si>
    <t xml:space="preserve">#5  2026 Honda CR-V TrailSport</t>
  </si>
  <si>
    <t xml:space="preserve">#6  2023 Honda CR-V Sport Touring</t>
  </si>
  <si>
    <t xml:space="preserve">#7  2025 Honda CR-V EX</t>
  </si>
  <si>
    <t xml:space="preserve">#8  2025 Honda CR-V Sport-L</t>
  </si>
  <si>
    <t xml:space="preserve">#9  2024 Toyota RAV4 Limited Edition</t>
  </si>
  <si>
    <t xml:space="preserve">#10  2024 Honda CR-V Sport-L</t>
  </si>
  <si>
    <t xml:space="preserve">Est. Market</t>
  </si>
  <si>
    <t xml:space="preserve">Repair $/yr</t>
  </si>
  <si>
    <t xml:space="preserve">No Accidents</t>
  </si>
  <si>
    <t xml:space="preserve">Personal Use</t>
  </si>
  <si>
    <t xml:space="preserve">Drivetrain</t>
  </si>
  <si>
    <t xml:space="preserve">Heated Seats</t>
  </si>
  <si>
    <t xml:space="preserve">Heated Steering</t>
  </si>
  <si>
    <t xml:space="preserve">Remote Start</t>
  </si>
  <si>
    <t xml:space="preserve">Navigation</t>
  </si>
  <si>
    <t xml:space="preserve">Wireless Charging</t>
  </si>
  <si>
    <t xml:space="preserve">Ext Color</t>
  </si>
  <si>
    <t xml:space="preserve">Int Color</t>
  </si>
  <si>
    <t xml:space="preserve">Dealer Rating</t>
  </si>
  <si>
    <t xml:space="preserve">Days Listed</t>
  </si>
  <si>
    <t xml:space="preserve">Price Drop</t>
  </si>
  <si>
    <t xml:space="preserve">CarFax</t>
  </si>
  <si>
    <t xml:space="preserve">Open CARFAX listing</t>
  </si>
  <si>
    <t xml:space="preserve">What each model and year actually goes for in this market. Everything is a live formula over the All Cars tab - it updates if you edit that data.</t>
  </si>
  <si>
    <t xml:space="preserve">Cars Listed</t>
  </si>
  <si>
    <t xml:space="preserve">Avg Price</t>
  </si>
  <si>
    <t xml:space="preserve">Min Price</t>
  </si>
  <si>
    <t xml:space="preserve">Max Price</t>
  </si>
  <si>
    <t xml:space="preserve">Avg Mileage</t>
  </si>
  <si>
    <t xml:space="preserve">Avg Score</t>
  </si>
  <si>
    <t xml:space="preserve">CPO Count</t>
  </si>
  <si>
    <t xml:space="preserve">Meets-All Count</t>
  </si>
  <si>
    <t xml:space="preserve">CR-V</t>
  </si>
  <si>
    <t xml:space="preserve">HR-V</t>
  </si>
  <si>
    <t xml:space="preserve">Outback</t>
  </si>
  <si>
    <t xml:space="preserve">4Runner</t>
  </si>
  <si>
    <t xml:space="preserve">RAV4</t>
  </si>
  <si>
    <t xml:space="preserve">All Cars - Full Inventory</t>
  </si>
  <si>
    <t xml:space="preserve">Every 2022+ 4Runner / RAV4 / HR-V / CR-V / Outback under $40,000 within 75 miles of Elkhart. Click the filter arrows to narrow. Data pulled from CARFAX 2026-09-14.</t>
  </si>
  <si>
    <t xml:space="preserve">Meets All</t>
  </si>
  <si>
    <t xml:space="preserve">Apple CarPlay</t>
  </si>
  <si>
    <t xml:space="preserve">Parking Sensors</t>
  </si>
  <si>
    <t xml:space="preserve">Power Driver Seat</t>
  </si>
  <si>
    <t xml:space="preserve">Premium Audio</t>
  </si>
  <si>
    <t xml:space="preserve">Engine</t>
  </si>
  <si>
    <t xml:space="preserve">ST</t>
  </si>
  <si>
    <t xml:space="preserve">Doc Fee</t>
  </si>
  <si>
    <t xml:space="preserve">Sub: Reliability</t>
  </si>
  <si>
    <t xml:space="preserve">Sub: Value</t>
  </si>
  <si>
    <t xml:space="preserve">Sub: Mileage</t>
  </si>
  <si>
    <t xml:space="preserve">Sub: Features</t>
  </si>
  <si>
    <t xml:space="preserve">Sub: CPO</t>
  </si>
  <si>
    <t xml:space="preserve">Sub: Distance</t>
  </si>
  <si>
    <t xml:space="preserve">VIN</t>
  </si>
  <si>
    <t xml:space="preserve">EXL</t>
  </si>
  <si>
    <t xml:space="preserve">Yes</t>
  </si>
  <si>
    <t xml:space="preserve">AWD</t>
  </si>
  <si>
    <t xml:space="preserve">Gasoline</t>
  </si>
  <si>
    <t xml:space="preserve">GREAT</t>
  </si>
  <si>
    <t xml:space="preserve">No</t>
  </si>
  <si>
    <t xml:space="preserve">Gray</t>
  </si>
  <si>
    <t xml:space="preserve">Black</t>
  </si>
  <si>
    <t xml:space="preserve">1.5 L 4 Cyl</t>
  </si>
  <si>
    <t xml:space="preserve">Gurley Leep Honda</t>
  </si>
  <si>
    <t xml:space="preserve">Elkhart</t>
  </si>
  <si>
    <t xml:space="preserve">IN</t>
  </si>
  <si>
    <t xml:space="preserve">2HKRS4H73TH412625</t>
  </si>
  <si>
    <t xml:space="preserve">2026 Honda CR-V</t>
  </si>
  <si>
    <t xml:space="preserve">EX</t>
  </si>
  <si>
    <t xml:space="preserve">Silver</t>
  </si>
  <si>
    <t xml:space="preserve">Crown Motors Cadillac Buick Honda Mazda</t>
  </si>
  <si>
    <t xml:space="preserve">Holland</t>
  </si>
  <si>
    <t xml:space="preserve">MI</t>
  </si>
  <si>
    <t xml:space="preserve">5J6RS4H46SL018336</t>
  </si>
  <si>
    <t xml:space="preserve">2025 Honda CR-V</t>
  </si>
  <si>
    <t xml:space="preserve">Limited</t>
  </si>
  <si>
    <t xml:space="preserve">None</t>
  </si>
  <si>
    <t xml:space="preserve">n/a</t>
  </si>
  <si>
    <t xml:space="preserve">2.5 L 4 Cyl</t>
  </si>
  <si>
    <t xml:space="preserve">Gurley Leep Hyundai Subaru</t>
  </si>
  <si>
    <t xml:space="preserve">Mishawaka</t>
  </si>
  <si>
    <t xml:space="preserve">4S4BTANC9S3315353</t>
  </si>
  <si>
    <t xml:space="preserve">2025 Subaru Outback</t>
  </si>
  <si>
    <t xml:space="preserve">https://www.carfax.com/vehicle/4S4BTANC9S3315353</t>
  </si>
  <si>
    <t xml:space="preserve">XLE Premium</t>
  </si>
  <si>
    <t xml:space="preserve">FWD</t>
  </si>
  <si>
    <t xml:space="preserve">GOOD</t>
  </si>
  <si>
    <t xml:space="preserve">Tan</t>
  </si>
  <si>
    <t xml:space="preserve">Crown Toyota Volkswagen</t>
  </si>
  <si>
    <t xml:space="preserve">2T3C1RFV9SW407573</t>
  </si>
  <si>
    <t xml:space="preserve">2025 Toyota RAV4</t>
  </si>
  <si>
    <t xml:space="preserve">https://www.carfax.com/vehicle/2T3C1RFV9SW407573</t>
  </si>
  <si>
    <t xml:space="preserve">White</t>
  </si>
  <si>
    <t xml:space="preserve">Fox Maple Hill</t>
  </si>
  <si>
    <t xml:space="preserve">Kalamazoo</t>
  </si>
  <si>
    <t xml:space="preserve">4S4BTANC7S3132470</t>
  </si>
  <si>
    <t xml:space="preserve">XLE</t>
  </si>
  <si>
    <t xml:space="preserve">FAIR</t>
  </si>
  <si>
    <t xml:space="preserve">Metro Toyota / DeNooyer Jaguar</t>
  </si>
  <si>
    <t xml:space="preserve">2T3P1RFV9SW625840</t>
  </si>
  <si>
    <t xml:space="preserve">https://www.carfax.com/vehicle/2T3P1RFV9SW625840</t>
  </si>
  <si>
    <t xml:space="preserve">Sport</t>
  </si>
  <si>
    <t xml:space="preserve">Hybrid</t>
  </si>
  <si>
    <t xml:space="preserve">2.0 L 4 Cyl</t>
  </si>
  <si>
    <t xml:space="preserve">Graff Toyota of Chesterton</t>
  </si>
  <si>
    <t xml:space="preserve">Chesterton</t>
  </si>
  <si>
    <t xml:space="preserve">5J6RS6H52RL023287</t>
  </si>
  <si>
    <t xml:space="preserve">2024 Honda CR-V</t>
  </si>
  <si>
    <t xml:space="preserve">https://www.carfax.com/vehicle/5J6RS6H52RL023287</t>
  </si>
  <si>
    <t xml:space="preserve">Blue</t>
  </si>
  <si>
    <t xml:space="preserve">7FARS6H5XRE073206</t>
  </si>
  <si>
    <t xml:space="preserve">TrailSport</t>
  </si>
  <si>
    <t xml:space="preserve">Gurley Leep Kia</t>
  </si>
  <si>
    <t xml:space="preserve">7FARS6H69TE031075</t>
  </si>
  <si>
    <t xml:space="preserve">EX-L</t>
  </si>
  <si>
    <t xml:space="preserve">Zeigler Chrysler Jeep Dodge Ram of Kalamazoo</t>
  </si>
  <si>
    <t xml:space="preserve">3CZRZ2H72PM717026</t>
  </si>
  <si>
    <t xml:space="preserve">2023 Honda HR-V</t>
  </si>
  <si>
    <t xml:space="preserve">https://www.carfax.com/vehicle/3CZRZ2H72PM717026</t>
  </si>
  <si>
    <t xml:space="preserve">LX</t>
  </si>
  <si>
    <t xml:space="preserve">Battle Creek Honda</t>
  </si>
  <si>
    <t xml:space="preserve">Springfield</t>
  </si>
  <si>
    <t xml:space="preserve">3CZRZ2H34RM718890</t>
  </si>
  <si>
    <t xml:space="preserve">2024 Honda HR-V</t>
  </si>
  <si>
    <t xml:space="preserve">https://www.carfax.com/vehicle/3CZRZ2H34RM718890</t>
  </si>
  <si>
    <t xml:space="preserve">Onyx Edition</t>
  </si>
  <si>
    <t xml:space="preserve">4S4BTALC1S3218764</t>
  </si>
  <si>
    <t xml:space="preserve">https://www.carfax.com/vehicle/4S4BTALC1S3218764</t>
  </si>
  <si>
    <t xml:space="preserve">Sport Touring</t>
  </si>
  <si>
    <t xml:space="preserve">5J6RS6H93PL004196</t>
  </si>
  <si>
    <t xml:space="preserve">2023 Honda CR-V</t>
  </si>
  <si>
    <t xml:space="preserve">7FARS4H4XSE002962</t>
  </si>
  <si>
    <t xml:space="preserve">Sport-L</t>
  </si>
  <si>
    <t xml:space="preserve">Jordan Lexus of Mishawaka</t>
  </si>
  <si>
    <t xml:space="preserve">7FARS6H82SE006423</t>
  </si>
  <si>
    <t xml:space="preserve">Sunshine Toyota</t>
  </si>
  <si>
    <t xml:space="preserve">2T3P1RFV7SW568876</t>
  </si>
  <si>
    <t xml:space="preserve">https://www.carfax.com/vehicle/2T3P1RFV7SW568876</t>
  </si>
  <si>
    <t xml:space="preserve">LE</t>
  </si>
  <si>
    <t xml:space="preserve">Evans Toyota</t>
  </si>
  <si>
    <t xml:space="preserve">Fort Wayne</t>
  </si>
  <si>
    <t xml:space="preserve">2T3H1RFV3SW373233</t>
  </si>
  <si>
    <t xml:space="preserve">https://www.carfax.com/vehicle/2T3H1RFV3SW373233</t>
  </si>
  <si>
    <t xml:space="preserve">Limited Edition</t>
  </si>
  <si>
    <t xml:space="preserve">Gurley Leep Buick GMC Cadillac</t>
  </si>
  <si>
    <t xml:space="preserve">2T3N1RFV3RW451961</t>
  </si>
  <si>
    <t xml:space="preserve">2024 Toyota RAV4</t>
  </si>
  <si>
    <t xml:space="preserve">Zeigler Ford Lincoln Elkhart</t>
  </si>
  <si>
    <t xml:space="preserve">7FARS6H8XRE020161</t>
  </si>
  <si>
    <t xml:space="preserve">Jordan Ford</t>
  </si>
  <si>
    <t xml:space="preserve">5J6RS4H76PL000890</t>
  </si>
  <si>
    <t xml:space="preserve">3CZRZ2H32RM708066</t>
  </si>
  <si>
    <t xml:space="preserve">https://www.carfax.com/vehicle/3CZRZ2H32RM708066</t>
  </si>
  <si>
    <t xml:space="preserve">2T3P1RFV7SC539038</t>
  </si>
  <si>
    <t xml:space="preserve">https://www.carfax.com/vehicle/2T3P1RFV7SC539038</t>
  </si>
  <si>
    <t xml:space="preserve">Signature Toyota Hyundai</t>
  </si>
  <si>
    <t xml:space="preserve">Benton Harbor</t>
  </si>
  <si>
    <t xml:space="preserve">7FARS6H92RE014122</t>
  </si>
  <si>
    <t xml:space="preserve">Unspecified</t>
  </si>
  <si>
    <t xml:space="preserve">3CZRZ2H77RM723987</t>
  </si>
  <si>
    <t xml:space="preserve">https://www.carfax.com/vehicle/3CZRZ2H77RM723987</t>
  </si>
  <si>
    <t xml:space="preserve">7FARS6H84RE043984</t>
  </si>
  <si>
    <t xml:space="preserve">Gates Of Granger</t>
  </si>
  <si>
    <t xml:space="preserve">Granger</t>
  </si>
  <si>
    <t xml:space="preserve">2T3P1RFV3NC285087</t>
  </si>
  <si>
    <t xml:space="preserve">2022 Toyota RAV4</t>
  </si>
  <si>
    <t xml:space="preserve">https://www.carfax.com/vehicle/2T3P1RFV3NC285087</t>
  </si>
  <si>
    <t xml:space="preserve">Red</t>
  </si>
  <si>
    <t xml:space="preserve">7FARS6H8XRE056819</t>
  </si>
  <si>
    <t xml:space="preserve">https://www.carfax.com/vehicle/7FARS6H8XRE056819</t>
  </si>
  <si>
    <t xml:space="preserve">Michiana Chrysler Dodge Jeep Ram Fiat</t>
  </si>
  <si>
    <t xml:space="preserve">4T3RWRFV4SU211732</t>
  </si>
  <si>
    <t xml:space="preserve">JTMRWRFV5SD591595</t>
  </si>
  <si>
    <t xml:space="preserve">5J6RS4H20RL003226</t>
  </si>
  <si>
    <t xml:space="preserve">https://www.carfax.com/vehicle/5J6RS4H20RL003226</t>
  </si>
  <si>
    <t xml:space="preserve">Toyota of Warsaw</t>
  </si>
  <si>
    <t xml:space="preserve">Warsaw</t>
  </si>
  <si>
    <t xml:space="preserve">4S4BTALC4S3182780</t>
  </si>
  <si>
    <t xml:space="preserve">Victory Honda Michigan City</t>
  </si>
  <si>
    <t xml:space="preserve">MICHIGAN CITY</t>
  </si>
  <si>
    <t xml:space="preserve">5J6RS4H77RL015465</t>
  </si>
  <si>
    <t xml:space="preserve">https://www.carfax.com/vehicle/5J6RS4H77RL015465</t>
  </si>
  <si>
    <t xml:space="preserve">Onyx Edition XT</t>
  </si>
  <si>
    <t xml:space="preserve">2.4 L 4 Cyl</t>
  </si>
  <si>
    <t xml:space="preserve">Zeigler Subaru of Fort Wayne</t>
  </si>
  <si>
    <t xml:space="preserve">4S4BTGLD8S3187895</t>
  </si>
  <si>
    <t xml:space="preserve">https://www.carfax.com/vehicle/4S4BTGLD8S3187895</t>
  </si>
  <si>
    <t xml:space="preserve">2T3P1RFV5SW532586</t>
  </si>
  <si>
    <t xml:space="preserve">https://www.carfax.com/vehicle/2T3P1RFV5SW532586</t>
  </si>
  <si>
    <t xml:space="preserve">3CZRZ2H54SM764677</t>
  </si>
  <si>
    <t xml:space="preserve">2025 Honda HR-V</t>
  </si>
  <si>
    <t xml:space="preserve">https://www.carfax.com/vehicle/3CZRZ2H54SM764677</t>
  </si>
  <si>
    <t xml:space="preserve">2T3P1RFV5SW513973</t>
  </si>
  <si>
    <t xml:space="preserve">https://www.carfax.com/vehicle/2T3P1RFV5SW513973</t>
  </si>
  <si>
    <t xml:space="preserve">7FARS6H88SE008967</t>
  </si>
  <si>
    <t xml:space="preserve">2T3P1RFV5SW533172</t>
  </si>
  <si>
    <t xml:space="preserve">https://www.carfax.com/vehicle/2T3P1RFV5SW533172</t>
  </si>
  <si>
    <t xml:space="preserve">Team Chevrolet</t>
  </si>
  <si>
    <t xml:space="preserve">Valparaiso</t>
  </si>
  <si>
    <t xml:space="preserve">2T3P1RFV2NW279456</t>
  </si>
  <si>
    <t xml:space="preserve">https://www.carfax.com/vehicle/2T3P1RFV2NW279456</t>
  </si>
  <si>
    <t xml:space="preserve">Gurley Leep Nissan</t>
  </si>
  <si>
    <t xml:space="preserve">7FARS6H57RE009544</t>
  </si>
  <si>
    <t xml:space="preserve">https://www.carfax.com/vehicle/7FARS6H57RE009544</t>
  </si>
  <si>
    <t xml:space="preserve">4S4BTALC3S3187209</t>
  </si>
  <si>
    <t xml:space="preserve">Bob Thomas Ford West</t>
  </si>
  <si>
    <t xml:space="preserve">2T3A1RFV1SW502278</t>
  </si>
  <si>
    <t xml:space="preserve">Premium</t>
  </si>
  <si>
    <t xml:space="preserve">JF2BUPBD6TY477397</t>
  </si>
  <si>
    <t xml:space="preserve">2026 Subaru Outback</t>
  </si>
  <si>
    <t xml:space="preserve">https://www.carfax.com/vehicle/JF2BUPBD6TY477397</t>
  </si>
  <si>
    <t xml:space="preserve">7FARS6H56RE044785</t>
  </si>
  <si>
    <t xml:space="preserve">2T3LWRFV9SW261077</t>
  </si>
  <si>
    <t xml:space="preserve">https://www.carfax.com/vehicle/2T3LWRFV9SW261077</t>
  </si>
  <si>
    <t xml:space="preserve">7FARS6H89SE024319</t>
  </si>
  <si>
    <t xml:space="preserve">David Rice Auto Sales LLC</t>
  </si>
  <si>
    <t xml:space="preserve">Schoolcraft</t>
  </si>
  <si>
    <t xml:space="preserve">JTMRWRFV1SJ072125</t>
  </si>
  <si>
    <t xml:space="preserve">https://www.carfax.com/vehicle/JTMRWRFV1SJ072125</t>
  </si>
  <si>
    <t xml:space="preserve">7FARS5H51RE030142</t>
  </si>
  <si>
    <t xml:space="preserve">https://www.carfax.com/vehicle/7FARS5H51RE030142</t>
  </si>
  <si>
    <t xml:space="preserve">Limited XT</t>
  </si>
  <si>
    <t xml:space="preserve">4S4BTGND3R3143827</t>
  </si>
  <si>
    <t xml:space="preserve">2024 Subaru Outback</t>
  </si>
  <si>
    <t xml:space="preserve">Art Hill Ford Lincoln</t>
  </si>
  <si>
    <t xml:space="preserve">Merrillville</t>
  </si>
  <si>
    <t xml:space="preserve">4S4BTGND7R3248466</t>
  </si>
  <si>
    <t xml:space="preserve">https://www.carfax.com/vehicle/4S4BTGND7R3248466</t>
  </si>
  <si>
    <t xml:space="preserve">Jim Stykemain Ford</t>
  </si>
  <si>
    <t xml:space="preserve">Garrett</t>
  </si>
  <si>
    <t xml:space="preserve">5J6RW2H87NA000701</t>
  </si>
  <si>
    <t xml:space="preserve">2022 Honda CR-V</t>
  </si>
  <si>
    <t xml:space="preserve">7FARS6H96PE001614</t>
  </si>
  <si>
    <t xml:space="preserve">https://www.carfax.com/vehicle/7FARS6H96PE001614</t>
  </si>
  <si>
    <t xml:space="preserve">7FARS6H86SE022138</t>
  </si>
  <si>
    <t xml:space="preserve">Green</t>
  </si>
  <si>
    <t xml:space="preserve">3CZRZ2H51SM757265</t>
  </si>
  <si>
    <t xml:space="preserve">Jordan Toyota</t>
  </si>
  <si>
    <t xml:space="preserve">5J6RS4H71RL002887</t>
  </si>
  <si>
    <t xml:space="preserve">https://www.carfax.com/vehicle/5J6RS4H71RL002887</t>
  </si>
  <si>
    <t xml:space="preserve">7FARS4H70SE014290</t>
  </si>
  <si>
    <t xml:space="preserve">https://www.carfax.com/vehicle/7FARS4H70SE014290</t>
  </si>
  <si>
    <t xml:space="preserve">7FARS4H49SE019591</t>
  </si>
  <si>
    <t xml:space="preserve">https://www.carfax.com/vehicle/7FARS4H49SE019591</t>
  </si>
  <si>
    <t xml:space="preserve">2T3P1RFV7SC536558</t>
  </si>
  <si>
    <t xml:space="preserve">2HKRS4H26SH450028</t>
  </si>
  <si>
    <t xml:space="preserve">https://www.carfax.com/vehicle/2HKRS4H26SH450028</t>
  </si>
  <si>
    <t xml:space="preserve">Gates Chevrolet South Bend</t>
  </si>
  <si>
    <t xml:space="preserve">South Bend</t>
  </si>
  <si>
    <t xml:space="preserve">7FARS4H46PE011892</t>
  </si>
  <si>
    <t xml:space="preserve">2T3F1RFV7PC371775</t>
  </si>
  <si>
    <t xml:space="preserve">2023 Toyota RAV4</t>
  </si>
  <si>
    <t xml:space="preserve">https://www.carfax.com/vehicle/2T3F1RFV7PC371775</t>
  </si>
  <si>
    <t xml:space="preserve">XSE</t>
  </si>
  <si>
    <t xml:space="preserve">JTME6RFV2RD564850</t>
  </si>
  <si>
    <t xml:space="preserve">https://www.carfax.com/vehicle/JTME6RFV2RD564850</t>
  </si>
  <si>
    <t xml:space="preserve">2HKRS4H74PH418360</t>
  </si>
  <si>
    <t xml:space="preserve">https://www.carfax.com/vehicle/2HKRS4H74PH418360</t>
  </si>
  <si>
    <t xml:space="preserve">4T3MWRFV2RU158968</t>
  </si>
  <si>
    <t xml:space="preserve">https://www.carfax.com/vehicle/4T3MWRFV2RU158968</t>
  </si>
  <si>
    <t xml:space="preserve">2HKRS4H49SH430180</t>
  </si>
  <si>
    <t xml:space="preserve">2T3RWRFV7RW217549</t>
  </si>
  <si>
    <t xml:space="preserve">https://www.carfax.com/vehicle/2T3RWRFV7RW217549</t>
  </si>
  <si>
    <t xml:space="preserve">JTMLWRFV1SD337243</t>
  </si>
  <si>
    <t xml:space="preserve">https://www.carfax.com/vehicle/JTMLWRFV1SD337243</t>
  </si>
  <si>
    <t xml:space="preserve">7FARS4H79RE001869</t>
  </si>
  <si>
    <t xml:space="preserve">https://www.carfax.com/vehicle/7FARS4H79RE001869</t>
  </si>
  <si>
    <t xml:space="preserve">2HKRS4H76PH436567</t>
  </si>
  <si>
    <t xml:space="preserve">https://www.carfax.com/vehicle/2HKRS4H76PH436567</t>
  </si>
  <si>
    <t xml:space="preserve">2HKRS4H72RH461761</t>
  </si>
  <si>
    <t xml:space="preserve">https://www.carfax.com/vehicle/2HKRS4H72RH461761</t>
  </si>
  <si>
    <t xml:space="preserve">5J6RS4H45TL000833</t>
  </si>
  <si>
    <t xml:space="preserve">https://www.carfax.com/vehicle/5J6RS4H45TL000833</t>
  </si>
  <si>
    <t xml:space="preserve">2HKRS4H43RH412414</t>
  </si>
  <si>
    <t xml:space="preserve">https://www.carfax.com/vehicle/2HKRS4H43RH412414</t>
  </si>
  <si>
    <t xml:space="preserve">TRD Off Road Premium</t>
  </si>
  <si>
    <t xml:space="preserve">4WD</t>
  </si>
  <si>
    <t xml:space="preserve">4.0 L 6 Cyl</t>
  </si>
  <si>
    <t xml:space="preserve">JTERU5JR4N6047375</t>
  </si>
  <si>
    <t xml:space="preserve">2022 Toyota 4Runner</t>
  </si>
  <si>
    <t xml:space="preserve">Zeigler GMC of Holland</t>
  </si>
  <si>
    <t xml:space="preserve">2HKRS4H44SH448795</t>
  </si>
  <si>
    <t xml:space="preserve">2T3F1RFV3RC436690</t>
  </si>
  <si>
    <t xml:space="preserve">https://www.carfax.com/vehicle/2T3F1RFV3RC436690</t>
  </si>
  <si>
    <t xml:space="preserve">Ben Davis Chevrolet</t>
  </si>
  <si>
    <t xml:space="preserve">Auburn</t>
  </si>
  <si>
    <t xml:space="preserve">3CZRZ2H36RM771834</t>
  </si>
  <si>
    <t xml:space="preserve">https://www.carfax.com/vehicle/3CZRZ2H36RM771834</t>
  </si>
  <si>
    <t xml:space="preserve">7FARS6H63TE025272</t>
  </si>
  <si>
    <t xml:space="preserve">https://www.carfax.com/vehicle/7FARS6H63TE025272</t>
  </si>
  <si>
    <t xml:space="preserve">2T3W1RFV3SW388998</t>
  </si>
  <si>
    <t xml:space="preserve">https://www.carfax.com/vehicle/2T3W1RFV3SW388998</t>
  </si>
  <si>
    <t xml:space="preserve">5J6RT6H88NL023795</t>
  </si>
  <si>
    <t xml:space="preserve">Graff Chevrolet GMC of Michigan City</t>
  </si>
  <si>
    <t xml:space="preserve">Michigan City</t>
  </si>
  <si>
    <t xml:space="preserve">2T3F1RFV5RW434888</t>
  </si>
  <si>
    <t xml:space="preserve">https://www.carfax.com/vehicle/2T3F1RFV5RW434888</t>
  </si>
  <si>
    <t xml:space="preserve">7FARS6H59PE019523</t>
  </si>
  <si>
    <t xml:space="preserve">https://www.carfax.com/vehicle/7FARS6H59PE019523</t>
  </si>
  <si>
    <t xml:space="preserve">2T3A1RFV1PC393250</t>
  </si>
  <si>
    <t xml:space="preserve">https://www.carfax.com/vehicle/2T3A1RFV1PC393250</t>
  </si>
  <si>
    <t xml:space="preserve">Chevrolet of Merrillville</t>
  </si>
  <si>
    <t xml:space="preserve">4S4BTAFC6R3136342</t>
  </si>
  <si>
    <t xml:space="preserve">2T3C1RFV7NW232034</t>
  </si>
  <si>
    <t xml:space="preserve">https://www.carfax.com/vehicle/2T3C1RFV7NW232034</t>
  </si>
  <si>
    <t xml:space="preserve">Zeigler Chrysler Dodge Jeep Ram of Plainwell</t>
  </si>
  <si>
    <t xml:space="preserve">Plainwell</t>
  </si>
  <si>
    <t xml:space="preserve">2T3A1RFV6SW516287</t>
  </si>
  <si>
    <t xml:space="preserve">https://www.carfax.com/vehicle/2T3A1RFV6SW516287</t>
  </si>
  <si>
    <t xml:space="preserve">4S4BTANC1R3162512</t>
  </si>
  <si>
    <t xml:space="preserve">https://www.carfax.com/vehicle/4S4BTANC1R3162512</t>
  </si>
  <si>
    <t xml:space="preserve">JTME6RFV5ND534624</t>
  </si>
  <si>
    <t xml:space="preserve">https://www.carfax.com/vehicle/JTME6RFV5ND534624</t>
  </si>
  <si>
    <t xml:space="preserve">7FARS6H86SE066625</t>
  </si>
  <si>
    <t xml:space="preserve">https://www.carfax.com/vehicle/7FARS6H86SE066625</t>
  </si>
  <si>
    <t xml:space="preserve">4S4BTALC5R3189893</t>
  </si>
  <si>
    <t xml:space="preserve">7FARS5H86SE018536</t>
  </si>
  <si>
    <t xml:space="preserve">https://www.carfax.com/vehicle/7FARS5H86SE018536</t>
  </si>
  <si>
    <t xml:space="preserve">5J6RS4H72RL015146</t>
  </si>
  <si>
    <t xml:space="preserve">https://www.carfax.com/vehicle/5J6RS4H72RL015146</t>
  </si>
  <si>
    <t xml:space="preserve">TRD Off Road</t>
  </si>
  <si>
    <t xml:space="preserve">JTEPU5JRXN6009270</t>
  </si>
  <si>
    <t xml:space="preserve">https://www.carfax.com/vehicle/JTEPU5JRXN6009270</t>
  </si>
  <si>
    <t xml:space="preserve">4T3RWRFV6NU068920</t>
  </si>
  <si>
    <t xml:space="preserve">https://www.carfax.com/vehicle/4T3RWRFV6NU068920</t>
  </si>
  <si>
    <t xml:space="preserve">7FARS4H72SE010189</t>
  </si>
  <si>
    <t xml:space="preserve">https://www.carfax.com/vehicle/7FARS4H72SE010189</t>
  </si>
  <si>
    <t xml:space="preserve">Garber Chrysler Dodge Jeep RAM Valparaiso</t>
  </si>
  <si>
    <t xml:space="preserve">4S4BTGLD2R3113687</t>
  </si>
  <si>
    <t xml:space="preserve">https://www.carfax.com/vehicle/4S4BTGLD2R3113687</t>
  </si>
  <si>
    <t xml:space="preserve">5J6RS6H84RL038433</t>
  </si>
  <si>
    <t xml:space="preserve">7FARS6H80SE002130</t>
  </si>
  <si>
    <t xml:space="preserve">https://www.carfax.com/vehicle/7FARS6H80SE002130</t>
  </si>
  <si>
    <t xml:space="preserve">Zeigler Ford of Plainwell</t>
  </si>
  <si>
    <t xml:space="preserve">2T3K1RFV8NC174979</t>
  </si>
  <si>
    <t xml:space="preserve">https://www.carfax.com/vehicle/2T3K1RFV8NC174979</t>
  </si>
  <si>
    <t xml:space="preserve">2T3H1RFVXSW381376</t>
  </si>
  <si>
    <t xml:space="preserve">https://www.carfax.com/vehicle/2T3H1RFVXSW381376</t>
  </si>
  <si>
    <t xml:space="preserve">JTMMWRFV0SD328988</t>
  </si>
  <si>
    <t xml:space="preserve">https://www.carfax.com/vehicle/JTMMWRFV0SD328988</t>
  </si>
  <si>
    <t xml:space="preserve">Hawkins Motor Sales</t>
  </si>
  <si>
    <t xml:space="preserve">Hillsdale</t>
  </si>
  <si>
    <t xml:space="preserve">7FARS4H73PE019944</t>
  </si>
  <si>
    <t xml:space="preserve">https://www.carfax.com/vehicle/7FARS4H73PE019944</t>
  </si>
  <si>
    <t xml:space="preserve">4S4BTADCXS3249302</t>
  </si>
  <si>
    <t xml:space="preserve">https://www.carfax.com/vehicle/4S4BTADCXS3249302</t>
  </si>
  <si>
    <t xml:space="preserve">Kelley Chevrolet</t>
  </si>
  <si>
    <t xml:space="preserve">5J6RS4H74RL009722</t>
  </si>
  <si>
    <t xml:space="preserve">https://www.carfax.com/vehicle/5J6RS4H74RL009722</t>
  </si>
  <si>
    <t xml:space="preserve">7FARS6H92PE010066</t>
  </si>
  <si>
    <t xml:space="preserve">https://www.carfax.com/vehicle/7FARS6H92PE010066</t>
  </si>
  <si>
    <t xml:space="preserve">Paul Richard Chevrolet GMC</t>
  </si>
  <si>
    <t xml:space="preserve">Peru</t>
  </si>
  <si>
    <t xml:space="preserve">7FARS6H86RE048359</t>
  </si>
  <si>
    <t xml:space="preserve">https://www.carfax.com/vehicle/7FARS6H86RE048359</t>
  </si>
  <si>
    <t xml:space="preserve">Shepherd's Chrysler Dodge Jeep Ram</t>
  </si>
  <si>
    <t xml:space="preserve">4S4BTAFC2R3129923</t>
  </si>
  <si>
    <t xml:space="preserve">https://www.carfax.com/vehicle/4S4BTAFC2R3129923</t>
  </si>
  <si>
    <t xml:space="preserve">Bob Thomas Ford North</t>
  </si>
  <si>
    <t xml:space="preserve">JTMRWRFV7SJ076468</t>
  </si>
  <si>
    <t xml:space="preserve">https://www.carfax.com/vehicle/JTMRWRFV7SJ076468</t>
  </si>
  <si>
    <t xml:space="preserve">5J6RS4H76PL001618</t>
  </si>
  <si>
    <t xml:space="preserve">https://www.carfax.com/vehicle/5J6RS4H76PL001618</t>
  </si>
  <si>
    <t xml:space="preserve">2T3P1RFV0RC427031</t>
  </si>
  <si>
    <t xml:space="preserve">https://www.carfax.com/vehicle/2T3P1RFV0RC427031</t>
  </si>
  <si>
    <t xml:space="preserve">Graff Chevrolet of Chesterton</t>
  </si>
  <si>
    <t xml:space="preserve">Burns Harbor</t>
  </si>
  <si>
    <t xml:space="preserve">5J6RW2H82NA007278</t>
  </si>
  <si>
    <t xml:space="preserve">https://www.carfax.com/vehicle/5J6RW2H82NA007278</t>
  </si>
  <si>
    <t xml:space="preserve">2T3P1RFV8SW553500</t>
  </si>
  <si>
    <t xml:space="preserve">https://www.carfax.com/vehicle/2T3P1RFV8SW553500</t>
  </si>
  <si>
    <t xml:space="preserve">Wabash Valley Chrysler</t>
  </si>
  <si>
    <t xml:space="preserve">Wabash</t>
  </si>
  <si>
    <t xml:space="preserve">2T3F1RFVXSC526280</t>
  </si>
  <si>
    <t xml:space="preserve">https://www.carfax.com/vehicle/2T3F1RFVXSC526280</t>
  </si>
  <si>
    <t xml:space="preserve">SR5</t>
  </si>
  <si>
    <t xml:space="preserve">RWD</t>
  </si>
  <si>
    <t xml:space="preserve">JTEEU5JRXP5295993</t>
  </si>
  <si>
    <t xml:space="preserve">2023 Toyota 4Runner</t>
  </si>
  <si>
    <t xml:space="preserve">https://www.carfax.com/vehicle/JTEEU5JRXP5295993</t>
  </si>
  <si>
    <t xml:space="preserve">2T3K1RFV9NC174215</t>
  </si>
  <si>
    <t xml:space="preserve">https://www.carfax.com/vehicle/2T3K1RFV9NC174215</t>
  </si>
  <si>
    <t xml:space="preserve">2T3B6RFVXRW054302</t>
  </si>
  <si>
    <t xml:space="preserve">https://www.carfax.com/vehicle/2T3B6RFVXRW054302</t>
  </si>
  <si>
    <t xml:space="preserve">4T3RWRFV5RU117806</t>
  </si>
  <si>
    <t xml:space="preserve">https://www.carfax.com/vehicle/4T3RWRFV5RU117806</t>
  </si>
  <si>
    <t xml:space="preserve">2HKRS4H42PH413504</t>
  </si>
  <si>
    <t xml:space="preserve">https://www.carfax.com/vehicle/2HKRS4H42PH413504</t>
  </si>
  <si>
    <t xml:space="preserve">2T3K1RFV0NC175351</t>
  </si>
  <si>
    <t xml:space="preserve">https://www.carfax.com/vehicle/2T3K1RFV0NC175351</t>
  </si>
  <si>
    <t xml:space="preserve">5J6RS6H91PL008618</t>
  </si>
  <si>
    <t xml:space="preserve">https://www.carfax.com/vehicle/5J6RS6H91PL008618</t>
  </si>
  <si>
    <t xml:space="preserve">2HKRS4H25RH455277</t>
  </si>
  <si>
    <t xml:space="preserve">https://www.carfax.com/vehicle/2HKRS4H25RH455277</t>
  </si>
  <si>
    <t xml:space="preserve">Gates Toyota</t>
  </si>
  <si>
    <t xml:space="preserve">2T3P1RFV0RC440765</t>
  </si>
  <si>
    <t xml:space="preserve">https://www.carfax.com/vehicle/2T3P1RFV0RC440765</t>
  </si>
  <si>
    <t xml:space="preserve">2HKRS4H70SH455057</t>
  </si>
  <si>
    <t xml:space="preserve">https://www.carfax.com/vehicle/2HKRS4H70SH455057</t>
  </si>
  <si>
    <t xml:space="preserve">4S4BTANC3S3138573</t>
  </si>
  <si>
    <t xml:space="preserve">https://www.carfax.com/vehicle/4S4BTANC3S3138573</t>
  </si>
  <si>
    <t xml:space="preserve">7FARS5H58RE021406</t>
  </si>
  <si>
    <t xml:space="preserve">https://www.carfax.com/vehicle/7FARS5H58RE021406</t>
  </si>
  <si>
    <t xml:space="preserve">2T3G1RFV4NC301989</t>
  </si>
  <si>
    <t xml:space="preserve">https://www.carfax.com/vehicle/2T3G1RFV4NC301989</t>
  </si>
  <si>
    <t xml:space="preserve">Robert DeNooyer Chevrolet</t>
  </si>
  <si>
    <t xml:space="preserve">7FARW2H57NE016534</t>
  </si>
  <si>
    <t xml:space="preserve">https://www.carfax.com/vehicle/7FARW2H57NE016534</t>
  </si>
  <si>
    <t xml:space="preserve">2T3G1RFV9RC454356</t>
  </si>
  <si>
    <t xml:space="preserve">https://www.carfax.com/vehicle/2T3G1RFV9RC454356</t>
  </si>
  <si>
    <t xml:space="preserve">2T3P1RFV3RC444728</t>
  </si>
  <si>
    <t xml:space="preserve">https://www.carfax.com/vehicle/2T3P1RFV3RC444728</t>
  </si>
  <si>
    <t xml:space="preserve">2T3P1RFV4SC528112</t>
  </si>
  <si>
    <t xml:space="preserve">https://www.carfax.com/vehicle/2T3P1RFV4SC528112</t>
  </si>
  <si>
    <t xml:space="preserve">Glenbrook Hyundai</t>
  </si>
  <si>
    <t xml:space="preserve">4T3E6RFV6NU101817</t>
  </si>
  <si>
    <t xml:space="preserve">https://www.carfax.com/vehicle/4T3E6RFV6NU101817</t>
  </si>
  <si>
    <t xml:space="preserve">Highend Motors - Merrillville</t>
  </si>
  <si>
    <t xml:space="preserve">2T3P1RFV2PW376224</t>
  </si>
  <si>
    <t xml:space="preserve">https://www.carfax.com/vehicle/2T3P1RFV2PW376224</t>
  </si>
  <si>
    <t xml:space="preserve">JTEEU5JR8P5281834</t>
  </si>
  <si>
    <t xml:space="preserve">https://www.carfax.com/vehicle/JTEEU5JR8P5281834</t>
  </si>
  <si>
    <t xml:space="preserve">Glenbrook Dodge Chrysler Jeep Fiat</t>
  </si>
  <si>
    <t xml:space="preserve">2T3W1RFV5SC334913</t>
  </si>
  <si>
    <t xml:space="preserve">https://www.carfax.com/vehicle/2T3W1RFV5SC334913</t>
  </si>
  <si>
    <t xml:space="preserve">2HKRS4H46SH404281</t>
  </si>
  <si>
    <t xml:space="preserve">https://www.carfax.com/vehicle/2HKRS4H46SH404281</t>
  </si>
  <si>
    <t xml:space="preserve">4T3RWRFV1NU074060</t>
  </si>
  <si>
    <t xml:space="preserve">https://www.carfax.com/vehicle/4T3RWRFV1NU074060</t>
  </si>
  <si>
    <t xml:space="preserve">2T3RWRFV6RW219356</t>
  </si>
  <si>
    <t xml:space="preserve">https://www.carfax.com/vehicle/2T3RWRFV6RW219356</t>
  </si>
  <si>
    <t xml:space="preserve">4S4BTANC5P3112547</t>
  </si>
  <si>
    <t xml:space="preserve">2023 Subaru Outback</t>
  </si>
  <si>
    <t xml:space="preserve">https://www.carfax.com/vehicle/4S4BTANC5P3112547</t>
  </si>
  <si>
    <t xml:space="preserve">2T3P1RFV2RW465682</t>
  </si>
  <si>
    <t xml:space="preserve">https://www.carfax.com/vehicle/2T3P1RFV2RW465682</t>
  </si>
  <si>
    <t xml:space="preserve">2T3K1RFV7NC201394</t>
  </si>
  <si>
    <t xml:space="preserve">https://www.carfax.com/vehicle/2T3K1RFV7NC201394</t>
  </si>
  <si>
    <t xml:space="preserve">4S4BTADC9P3197765</t>
  </si>
  <si>
    <t xml:space="preserve">Image Cars</t>
  </si>
  <si>
    <t xml:space="preserve">2T3P1RFV4SW554708</t>
  </si>
  <si>
    <t xml:space="preserve">https://www.carfax.com/vehicle/2T3P1RFV4SW554708</t>
  </si>
  <si>
    <t xml:space="preserve">2T3P1RFV2RW463723</t>
  </si>
  <si>
    <t xml:space="preserve">https://www.carfax.com/vehicle/2T3P1RFV2RW463723</t>
  </si>
  <si>
    <t xml:space="preserve">4T3RWRFV4SU167649</t>
  </si>
  <si>
    <t xml:space="preserve">https://www.carfax.com/vehicle/4T3RWRFV4SU167649</t>
  </si>
  <si>
    <t xml:space="preserve">4T3D6RFV8NU075216</t>
  </si>
  <si>
    <t xml:space="preserve">https://www.carfax.com/vehicle/4T3D6RFV8NU075216</t>
  </si>
  <si>
    <t xml:space="preserve">SE</t>
  </si>
  <si>
    <t xml:space="preserve">JTM16RFV4ND070370</t>
  </si>
  <si>
    <t xml:space="preserve">https://www.carfax.com/vehicle/JTM16RFV4ND070370</t>
  </si>
  <si>
    <t xml:space="preserve">4S4BTGND8S3144395</t>
  </si>
  <si>
    <t xml:space="preserve">https://www.carfax.com/vehicle/4S4BTGND8S3144395</t>
  </si>
  <si>
    <t xml:space="preserve">JTMEB3FVXRD172885</t>
  </si>
  <si>
    <t xml:space="preserve">https://www.carfax.com/vehicle/JTMEB3FVXRD172885</t>
  </si>
  <si>
    <t xml:space="preserve">Eby Ford</t>
  </si>
  <si>
    <t xml:space="preserve">Goshen</t>
  </si>
  <si>
    <t xml:space="preserve">2T3G1RFV9NC300434</t>
  </si>
  <si>
    <t xml:space="preserve">https://www.carfax.com/vehicle/2T3G1RFV9NC300434</t>
  </si>
  <si>
    <t xml:space="preserve">4T3MWRFV0RU113172</t>
  </si>
  <si>
    <t xml:space="preserve">https://www.carfax.com/vehicle/4T3MWRFV0RU113172</t>
  </si>
  <si>
    <t xml:space="preserve">2T3P1RFV0SW566161</t>
  </si>
  <si>
    <t xml:space="preserve">https://www.carfax.com/vehicle/2T3P1RFV0SW566161</t>
  </si>
  <si>
    <t xml:space="preserve">3CZRZ1H52PM718685</t>
  </si>
  <si>
    <t xml:space="preserve">https://www.carfax.com/vehicle/3CZRZ1H52PM718685</t>
  </si>
  <si>
    <t xml:space="preserve">5J6RS6H55RL004541</t>
  </si>
  <si>
    <t xml:space="preserve">https://www.carfax.com/vehicle/5J6RS6H55RL004541</t>
  </si>
  <si>
    <t xml:space="preserve">7FARS4H4XPE004881</t>
  </si>
  <si>
    <t xml:space="preserve">https://www.carfax.com/vehicle/7FARS4H4XPE004881</t>
  </si>
  <si>
    <t xml:space="preserve">4S4BTAFC1R3240916</t>
  </si>
  <si>
    <t xml:space="preserve">3CZRZ2H54SM759687</t>
  </si>
  <si>
    <t xml:space="preserve">https://www.carfax.com/vehicle/3CZRZ2H54SM759687</t>
  </si>
  <si>
    <t xml:space="preserve">2T3P1RFV7SW553696</t>
  </si>
  <si>
    <t xml:space="preserve">https://www.carfax.com/vehicle/2T3P1RFV7SW553696</t>
  </si>
  <si>
    <t xml:space="preserve">4T3RWRFV9SU177965</t>
  </si>
  <si>
    <t xml:space="preserve">https://www.carfax.com/vehicle/4T3RWRFV9SU177965</t>
  </si>
  <si>
    <t xml:space="preserve">4S4BTANC1R3286439</t>
  </si>
  <si>
    <t xml:space="preserve">https://www.carfax.com/vehicle/4S4BTANC1R3286439</t>
  </si>
  <si>
    <t xml:space="preserve">2HKRS4H20RH418914</t>
  </si>
  <si>
    <t xml:space="preserve">https://www.carfax.com/vehicle/2HKRS4H20RH418914</t>
  </si>
  <si>
    <t xml:space="preserve">4S4BTANC1R3232655</t>
  </si>
  <si>
    <t xml:space="preserve">https://www.carfax.com/vehicle/4S4BTANC1R3232655</t>
  </si>
  <si>
    <t xml:space="preserve">4T3RWRFV0SU181385</t>
  </si>
  <si>
    <t xml:space="preserve">https://www.carfax.com/vehicle/4T3RWRFV0SU181385</t>
  </si>
  <si>
    <t xml:space="preserve">4T3RWRFV9SU180574</t>
  </si>
  <si>
    <t xml:space="preserve">https://www.carfax.com/vehicle/4T3RWRFV9SU180574</t>
  </si>
  <si>
    <t xml:space="preserve">2T3H1RFV0SC310026</t>
  </si>
  <si>
    <t xml:space="preserve">https://www.carfax.com/vehicle/2T3H1RFV0SC310026</t>
  </si>
  <si>
    <t xml:space="preserve">4S4BTACC6S3275770</t>
  </si>
  <si>
    <t xml:space="preserve">https://www.carfax.com/vehicle/4S4BTACC6S3275770</t>
  </si>
  <si>
    <t xml:space="preserve">3CZRZ2H54RM712492</t>
  </si>
  <si>
    <t xml:space="preserve">https://www.carfax.com/vehicle/3CZRZ2H54RM712492</t>
  </si>
  <si>
    <t xml:space="preserve">4S4BTANC0P3184238</t>
  </si>
  <si>
    <t xml:space="preserve">https://www.carfax.com/vehicle/4S4BTANC0P3184238</t>
  </si>
  <si>
    <t xml:space="preserve">2T3F1RFV5SW539243</t>
  </si>
  <si>
    <t xml:space="preserve">https://www.carfax.com/vehicle/2T3F1RFV5SW539243</t>
  </si>
  <si>
    <t xml:space="preserve">2T3P1RFV5SW551283</t>
  </si>
  <si>
    <t xml:space="preserve">https://www.carfax.com/vehicle/2T3P1RFV5SW551283</t>
  </si>
  <si>
    <t xml:space="preserve">2T3F1RFV6SW529773</t>
  </si>
  <si>
    <t xml:space="preserve">https://www.carfax.com/vehicle/2T3F1RFV6SW529773</t>
  </si>
  <si>
    <t xml:space="preserve">2HKRS4H23RH425145</t>
  </si>
  <si>
    <t xml:space="preserve">https://www.carfax.com/vehicle/2HKRS4H23RH425145</t>
  </si>
  <si>
    <t xml:space="preserve">2T3W1RFV5RW343037</t>
  </si>
  <si>
    <t xml:space="preserve">https://www.carfax.com/vehicle/2T3W1RFV5RW343037</t>
  </si>
  <si>
    <t xml:space="preserve">5J6RS6H92SL000794</t>
  </si>
  <si>
    <t xml:space="preserve">https://www.carfax.com/vehicle/5J6RS6H92SL000794</t>
  </si>
  <si>
    <t xml:space="preserve">2T3F1RFV0SC519760</t>
  </si>
  <si>
    <t xml:space="preserve">https://www.carfax.com/vehicle/2T3F1RFV0SC519760</t>
  </si>
  <si>
    <t xml:space="preserve">7FARS4H79PE001500</t>
  </si>
  <si>
    <t xml:space="preserve">https://www.carfax.com/vehicle/7FARS4H79PE001500</t>
  </si>
  <si>
    <t xml:space="preserve">Wilderness</t>
  </si>
  <si>
    <t xml:space="preserve">4S4BTGUD5R3134368</t>
  </si>
  <si>
    <t xml:space="preserve">https://www.carfax.com/vehicle/4S4BTGUD5R3134368</t>
  </si>
  <si>
    <t xml:space="preserve">Gates Chevy World</t>
  </si>
  <si>
    <t xml:space="preserve">2HKRW2H84NH654165</t>
  </si>
  <si>
    <t xml:space="preserve">https://www.carfax.com/vehicle/2HKRW2H84NH654165</t>
  </si>
  <si>
    <t xml:space="preserve">Denney Motor Sales, Inc.</t>
  </si>
  <si>
    <t xml:space="preserve">4S4BTAMC0N3257087</t>
  </si>
  <si>
    <t xml:space="preserve">2022 Subaru Outback</t>
  </si>
  <si>
    <t xml:space="preserve">https://www.carfax.com/vehicle/4S4BTAMC0N3257087</t>
  </si>
  <si>
    <t xml:space="preserve">2T3F1RFV3SC518487</t>
  </si>
  <si>
    <t xml:space="preserve">https://www.carfax.com/vehicle/2T3F1RFV3SC518487</t>
  </si>
  <si>
    <t xml:space="preserve">2T3W1RFV3SC318967</t>
  </si>
  <si>
    <t xml:space="preserve">https://www.carfax.com/vehicle/2T3W1RFV3SC318967</t>
  </si>
  <si>
    <t xml:space="preserve">Vicksburg Chrysler Dodge Jeep RAM</t>
  </si>
  <si>
    <t xml:space="preserve">Vicksburg</t>
  </si>
  <si>
    <t xml:space="preserve">2T3H1RFV0NW206624</t>
  </si>
  <si>
    <t xml:space="preserve">https://www.carfax.com/vehicle/2T3H1RFV0NW206624</t>
  </si>
  <si>
    <t xml:space="preserve">4T3RWRFV0SU172279</t>
  </si>
  <si>
    <t xml:space="preserve">https://www.carfax.com/vehicle/4T3RWRFV0SU172279</t>
  </si>
  <si>
    <t xml:space="preserve">Brown</t>
  </si>
  <si>
    <t xml:space="preserve">Gates of Elkhart</t>
  </si>
  <si>
    <t xml:space="preserve">4S4BTANC0R3287968</t>
  </si>
  <si>
    <t xml:space="preserve">https://www.carfax.com/vehicle/4S4BTANC0R3287968</t>
  </si>
  <si>
    <t xml:space="preserve">2T3P1RFV3RC439514</t>
  </si>
  <si>
    <t xml:space="preserve">https://www.carfax.com/vehicle/2T3P1RFV3RC439514</t>
  </si>
  <si>
    <t xml:space="preserve">2T3F1RFV9SC497046</t>
  </si>
  <si>
    <t xml:space="preserve">https://www.carfax.com/vehicle/2T3F1RFV9SC497046</t>
  </si>
  <si>
    <t xml:space="preserve">24/7 Cars LLC</t>
  </si>
  <si>
    <t xml:space="preserve">Larwill</t>
  </si>
  <si>
    <t xml:space="preserve">JTMEB3FV4PD113845</t>
  </si>
  <si>
    <t xml:space="preserve">https://www.carfax.com/vehicle/JTMEB3FV4PD113845</t>
  </si>
  <si>
    <t xml:space="preserve">2T3K1RFV3NC201716</t>
  </si>
  <si>
    <t xml:space="preserve">https://www.carfax.com/vehicle/2T3K1RFV3NC201716</t>
  </si>
  <si>
    <t xml:space="preserve">4S4BTAAC5N3225739</t>
  </si>
  <si>
    <t xml:space="preserve">https://www.carfax.com/vehicle/4S4BTAAC5N3225739</t>
  </si>
  <si>
    <t xml:space="preserve">2T3G1RFV4NC301720</t>
  </si>
  <si>
    <t xml:space="preserve">https://www.carfax.com/vehicle/2T3G1RFV4NC301720</t>
  </si>
  <si>
    <t xml:space="preserve">2T3H1RFV5SW381429</t>
  </si>
  <si>
    <t xml:space="preserve">https://www.carfax.com/vehicle/2T3H1RFV5SW381429</t>
  </si>
  <si>
    <t xml:space="preserve">4S4BTAFC2R3163764</t>
  </si>
  <si>
    <t xml:space="preserve">https://www.carfax.com/vehicle/4S4BTAFC2R3163764</t>
  </si>
  <si>
    <t xml:space="preserve">3CZRZ2H5XRM727188</t>
  </si>
  <si>
    <t xml:space="preserve">https://www.carfax.com/vehicle/3CZRZ2H5XRM727188</t>
  </si>
  <si>
    <t xml:space="preserve">4T3RWRFV0SU176333</t>
  </si>
  <si>
    <t xml:space="preserve">https://www.carfax.com/vehicle/4T3RWRFV0SU176333</t>
  </si>
  <si>
    <t xml:space="preserve">4S4BTALC8S3175797</t>
  </si>
  <si>
    <t xml:space="preserve">https://www.carfax.com/vehicle/4S4BTALC8S3175797</t>
  </si>
  <si>
    <t xml:space="preserve">4S4BTACCXR3210995</t>
  </si>
  <si>
    <t xml:space="preserve">https://www.carfax.com/vehicle/4S4BTACCXR3210995</t>
  </si>
  <si>
    <t xml:space="preserve">4S4BTADC7P3214000</t>
  </si>
  <si>
    <t xml:space="preserve">https://www.carfax.com/vehicle/4S4BTADC7P3214000</t>
  </si>
  <si>
    <t xml:space="preserve">Bobilya Chrysler Dodge Jeep Ram</t>
  </si>
  <si>
    <t xml:space="preserve">Coldwater</t>
  </si>
  <si>
    <t xml:space="preserve">2T3H1RFV0SC318238</t>
  </si>
  <si>
    <t xml:space="preserve">https://www.carfax.com/vehicle/2T3H1RFV0SC318238</t>
  </si>
  <si>
    <t xml:space="preserve">4S4BTAFC0P3170676</t>
  </si>
  <si>
    <t xml:space="preserve">https://www.carfax.com/vehicle/4S4BTAFC0P3170676</t>
  </si>
  <si>
    <t xml:space="preserve">2T3H1RFV1SW367429</t>
  </si>
  <si>
    <t xml:space="preserve">https://www.carfax.com/vehicle/2T3H1RFV1SW367429</t>
  </si>
  <si>
    <t xml:space="preserve">2T3P1RFV9NC285370</t>
  </si>
  <si>
    <t xml:space="preserve">https://www.carfax.com/vehicle/2T3P1RFV9NC285370</t>
  </si>
  <si>
    <t xml:space="preserve">5J6RS5H86RL003323</t>
  </si>
  <si>
    <t xml:space="preserve">https://www.carfax.com/vehicle/5J6RS5H86RL003323</t>
  </si>
  <si>
    <t xml:space="preserve">2T3A1RFV2PW353287</t>
  </si>
  <si>
    <t xml:space="preserve">https://www.carfax.com/vehicle/2T3A1RFV2PW353287</t>
  </si>
  <si>
    <t xml:space="preserve">Adventure</t>
  </si>
  <si>
    <t xml:space="preserve">2T3J1RFV6NW286173</t>
  </si>
  <si>
    <t xml:space="preserve">https://www.carfax.com/vehicle/2T3J1RFV6NW286173</t>
  </si>
  <si>
    <t xml:space="preserve">Graff Ford of Chesterton</t>
  </si>
  <si>
    <t xml:space="preserve">2T3P1RFV0SW548615</t>
  </si>
  <si>
    <t xml:space="preserve">https://www.carfax.com/vehicle/2T3P1RFV0SW548615</t>
  </si>
  <si>
    <t xml:space="preserve">4S4BTAMC6P3146773</t>
  </si>
  <si>
    <t xml:space="preserve">https://www.carfax.com/vehicle/4S4BTAMC6P3146773</t>
  </si>
  <si>
    <t xml:space="preserve">2T3F1RFV6SC493651</t>
  </si>
  <si>
    <t xml:space="preserve">https://www.carfax.com/vehicle/2T3F1RFV6SC493651</t>
  </si>
  <si>
    <t xml:space="preserve">3CZRZ1H32RM714587</t>
  </si>
  <si>
    <t xml:space="preserve">https://www.carfax.com/vehicle/3CZRZ1H32RM714587</t>
  </si>
  <si>
    <t xml:space="preserve">4T3RWRFV2NU078716</t>
  </si>
  <si>
    <t xml:space="preserve">https://www.carfax.com/vehicle/4T3RWRFV2NU078716</t>
  </si>
  <si>
    <t xml:space="preserve">3CZRZ1H56RM702508</t>
  </si>
  <si>
    <t xml:space="preserve">https://www.carfax.com/vehicle/3CZRZ1H56RM702508</t>
  </si>
  <si>
    <t xml:space="preserve">2T3P1RFV5SW548707</t>
  </si>
  <si>
    <t xml:space="preserve">https://www.carfax.com/vehicle/2T3P1RFV5SW548707</t>
  </si>
  <si>
    <t xml:space="preserve">2T3P1RFV9RC439047</t>
  </si>
  <si>
    <t xml:space="preserve">https://www.carfax.com/vehicle/2T3P1RFV9RC439047</t>
  </si>
  <si>
    <t xml:space="preserve">Walt Sicard Car Company</t>
  </si>
  <si>
    <t xml:space="preserve">South Haven</t>
  </si>
  <si>
    <t xml:space="preserve">4S4BTAFC4R3200104</t>
  </si>
  <si>
    <t xml:space="preserve">https://www.carfax.com/vehicle/4S4BTAFC4R3200104</t>
  </si>
  <si>
    <t xml:space="preserve">Ride Time Auto Finance 3</t>
  </si>
  <si>
    <t xml:space="preserve">Crown Point</t>
  </si>
  <si>
    <t xml:space="preserve">3CZRZ2H55PM750049</t>
  </si>
  <si>
    <t xml:space="preserve">https://www.carfax.com/vehicle/3CZRZ2H55PM750049</t>
  </si>
  <si>
    <t xml:space="preserve">2T3P1RFV0RC427983</t>
  </si>
  <si>
    <t xml:space="preserve">https://www.carfax.com/vehicle/2T3P1RFV0RC427983</t>
  </si>
  <si>
    <t xml:space="preserve">2T3RWRFV2SW266776</t>
  </si>
  <si>
    <t xml:space="preserve">https://www.carfax.com/vehicle/2T3RWRFV2SW266776</t>
  </si>
  <si>
    <t xml:space="preserve">4S4BTALCXS3178619</t>
  </si>
  <si>
    <t xml:space="preserve">https://www.carfax.com/vehicle/4S4BTALCXS3178619</t>
  </si>
  <si>
    <t xml:space="preserve">2T3G1RFVXNC300409</t>
  </si>
  <si>
    <t xml:space="preserve">https://www.carfax.com/vehicle/2T3G1RFVXNC300409</t>
  </si>
  <si>
    <t xml:space="preserve">2T3F1RFV5SC505692</t>
  </si>
  <si>
    <t xml:space="preserve">https://www.carfax.com/vehicle/2T3F1RFV5SC505692</t>
  </si>
  <si>
    <t xml:space="preserve">4S4BTADC5P3210110</t>
  </si>
  <si>
    <t xml:space="preserve">https://www.carfax.com/vehicle/4S4BTADC5P3210110</t>
  </si>
  <si>
    <t xml:space="preserve">4T3LWRFV2SU180678</t>
  </si>
  <si>
    <t xml:space="preserve">https://www.carfax.com/vehicle/4T3LWRFV2SU180678</t>
  </si>
  <si>
    <t xml:space="preserve">4S4BTADC8R3223002</t>
  </si>
  <si>
    <t xml:space="preserve">https://www.carfax.com/vehicle/4S4BTADC8R3223002</t>
  </si>
  <si>
    <t xml:space="preserve">4T3RWRFV0SU176994</t>
  </si>
  <si>
    <t xml:space="preserve">https://www.carfax.com/vehicle/4T3RWRFV0SU176994</t>
  </si>
  <si>
    <t xml:space="preserve">4T3RWRFVXSU165632</t>
  </si>
  <si>
    <t xml:space="preserve">https://www.carfax.com/vehicle/4T3RWRFVXSU165632</t>
  </si>
  <si>
    <t xml:space="preserve">3CZRZ2H38SM764826</t>
  </si>
  <si>
    <t xml:space="preserve">https://www.carfax.com/vehicle/3CZRZ2H38SM764826</t>
  </si>
  <si>
    <t xml:space="preserve">2T3E6RFV4RW067107</t>
  </si>
  <si>
    <t xml:space="preserve">https://www.carfax.com/vehicle/2T3E6RFV4RW067107</t>
  </si>
  <si>
    <t xml:space="preserve">4T3RWRFV6SU181388</t>
  </si>
  <si>
    <t xml:space="preserve">https://www.carfax.com/vehicle/4T3RWRFV6SU181388</t>
  </si>
  <si>
    <t xml:space="preserve">4T3RWRFV5SU182497</t>
  </si>
  <si>
    <t xml:space="preserve">https://www.carfax.com/vehicle/4T3RWRFV5SU182497</t>
  </si>
  <si>
    <t xml:space="preserve">Christi Hubler Ford</t>
  </si>
  <si>
    <t xml:space="preserve">Logansport</t>
  </si>
  <si>
    <t xml:space="preserve">4T3RWRFV9NU054395</t>
  </si>
  <si>
    <t xml:space="preserve">https://www.carfax.com/vehicle/4T3RWRFV9NU054395</t>
  </si>
  <si>
    <t xml:space="preserve">2T3RWRFV2PW175658</t>
  </si>
  <si>
    <t xml:space="preserve">https://www.carfax.com/vehicle/2T3RWRFV2PW175658</t>
  </si>
  <si>
    <t xml:space="preserve">3CZRZ2H33RM709517</t>
  </si>
  <si>
    <t xml:space="preserve">https://www.carfax.com/vehicle/3CZRZ2H33RM709517</t>
  </si>
  <si>
    <t xml:space="preserve">4T3RWRFV9SU176136</t>
  </si>
  <si>
    <t xml:space="preserve">https://www.carfax.com/vehicle/4T3RWRFV9SU176136</t>
  </si>
  <si>
    <t xml:space="preserve">4T3RWRFV1NU075001</t>
  </si>
  <si>
    <t xml:space="preserve">https://www.carfax.com/vehicle/4T3RWRFV1NU075001</t>
  </si>
  <si>
    <t xml:space="preserve">4T3RWRFV6SU177003</t>
  </si>
  <si>
    <t xml:space="preserve">https://www.carfax.com/vehicle/4T3RWRFV6SU177003</t>
  </si>
  <si>
    <t xml:space="preserve">Northwest Indiana Auto Finance Inc - Valparaiso</t>
  </si>
  <si>
    <t xml:space="preserve">3CZRZ1H3XSM724905</t>
  </si>
  <si>
    <t xml:space="preserve">https://www.carfax.com/vehicle/3CZRZ1H3XSM724905</t>
  </si>
  <si>
    <t xml:space="preserve">4T3B6RFV9PU116379</t>
  </si>
  <si>
    <t xml:space="preserve">https://www.carfax.com/vehicle/4T3B6RFV9PU116379</t>
  </si>
  <si>
    <t xml:space="preserve">4S4BTADC5P3175469</t>
  </si>
  <si>
    <t xml:space="preserve">https://www.carfax.com/vehicle/4S4BTADC5P3175469</t>
  </si>
  <si>
    <t xml:space="preserve">4S4BTADC8R3246456</t>
  </si>
  <si>
    <t xml:space="preserve">https://www.carfax.com/vehicle/4S4BTADC8R3246456</t>
  </si>
  <si>
    <t xml:space="preserve">4T3MWRFV8PU090270</t>
  </si>
  <si>
    <t xml:space="preserve">https://www.carfax.com/vehicle/4T3MWRFV8PU090270</t>
  </si>
  <si>
    <t xml:space="preserve">4T3RWRFV9SU180218</t>
  </si>
  <si>
    <t xml:space="preserve">https://www.carfax.com/vehicle/4T3RWRFV9SU180218</t>
  </si>
  <si>
    <t xml:space="preserve">Touring XT</t>
  </si>
  <si>
    <t xml:space="preserve">4S4BTGPD1R3163197</t>
  </si>
  <si>
    <t xml:space="preserve">https://www.carfax.com/vehicle/4S4BTGPD1R3163197</t>
  </si>
  <si>
    <t xml:space="preserve">4T3RWRFV2SU180240</t>
  </si>
  <si>
    <t xml:space="preserve">https://www.carfax.com/vehicle/4T3RWRFV2SU180240</t>
  </si>
  <si>
    <t xml:space="preserve">4S4BTADC0P3214646</t>
  </si>
  <si>
    <t xml:space="preserve">https://www.carfax.com/vehicle/4S4BTADC0P3214646</t>
  </si>
  <si>
    <t xml:space="preserve">4S4BTADC3R3246140</t>
  </si>
  <si>
    <t xml:space="preserve">https://www.carfax.com/vehicle/4S4BTADC3R3246140</t>
  </si>
  <si>
    <t xml:space="preserve">4S4BTACC2R3234675</t>
  </si>
  <si>
    <t xml:space="preserve">https://www.carfax.com/vehicle/4S4BTACC2R3234675</t>
  </si>
  <si>
    <t xml:space="preserve">Currie Motors Ford of Valpo</t>
  </si>
  <si>
    <t xml:space="preserve">2T3E6RFV4RW048041</t>
  </si>
  <si>
    <t xml:space="preserve">https://www.carfax.com/vehicle/2T3E6RFV4RW048041</t>
  </si>
  <si>
    <t xml:space="preserve">4S4BTADC8R3158331</t>
  </si>
  <si>
    <t xml:space="preserve">https://www.carfax.com/vehicle/4S4BTADC8R3158331</t>
  </si>
  <si>
    <t xml:space="preserve">7FARS6H50RE025049</t>
  </si>
  <si>
    <t xml:space="preserve">https://www.carfax.com/vehicle/7FARS6H50RE025049</t>
  </si>
  <si>
    <t xml:space="preserve">Elite Auto Sales Incorporated</t>
  </si>
  <si>
    <t xml:space="preserve">Hobart</t>
  </si>
  <si>
    <t xml:space="preserve">4T3E6RFV1PU129401</t>
  </si>
  <si>
    <t xml:space="preserve">https://www.carfax.com/vehicle/4T3E6RFV1PU129401</t>
  </si>
  <si>
    <t xml:space="preserve">2HKRS4H45PH437263</t>
  </si>
  <si>
    <t xml:space="preserve">https://www.carfax.com/vehicle/2HKRS4H45PH437263</t>
  </si>
  <si>
    <t xml:space="preserve">4S4BTADC8P3220100</t>
  </si>
  <si>
    <t xml:space="preserve">https://www.carfax.com/vehicle/4S4BTADC8P3220100</t>
  </si>
  <si>
    <t xml:space="preserve">4T3RWRFV5SU171919</t>
  </si>
  <si>
    <t xml:space="preserve">https://www.carfax.com/vehicle/4T3RWRFV5SU171919</t>
  </si>
  <si>
    <t xml:space="preserve">4T3MWRFV3PU090290</t>
  </si>
  <si>
    <t xml:space="preserve">https://www.carfax.com/vehicle/4T3MWRFV3PU090290</t>
  </si>
  <si>
    <t xml:space="preserve">4T3T6RFV1PU117773</t>
  </si>
  <si>
    <t xml:space="preserve">https://www.carfax.com/vehicle/4T3T6RFV1PU117773</t>
  </si>
  <si>
    <t xml:space="preserve">4T3MWRFV4PU091447</t>
  </si>
  <si>
    <t xml:space="preserve">https://www.carfax.com/vehicle/4T3MWRFV4PU091447</t>
  </si>
  <si>
    <t xml:space="preserve">Derrow Shirkey Ford Lincoln</t>
  </si>
  <si>
    <t xml:space="preserve">Montpelier</t>
  </si>
  <si>
    <t xml:space="preserve">OH</t>
  </si>
  <si>
    <t xml:space="preserve">4S4BTAJC2P3104976</t>
  </si>
  <si>
    <t xml:space="preserve">https://www.carfax.com/vehicle/4S4BTAJC2P3104976</t>
  </si>
  <si>
    <t xml:space="preserve">4T3RWRFV6SU180709</t>
  </si>
  <si>
    <t xml:space="preserve">https://www.carfax.com/vehicle/4T3RWRFV6SU180709</t>
  </si>
  <si>
    <t xml:space="preserve">3CZRZ2H50RM712165</t>
  </si>
  <si>
    <t xml:space="preserve">https://www.carfax.com/vehicle/3CZRZ2H50RM712165</t>
  </si>
  <si>
    <t xml:space="preserve">4S4BTACC3R3236855</t>
  </si>
  <si>
    <t xml:space="preserve">https://www.carfax.com/vehicle/4S4BTACC3R3236855</t>
  </si>
  <si>
    <t xml:space="preserve">Grote Mitsubishi</t>
  </si>
  <si>
    <t xml:space="preserve">2T3G1RFV2NC302638</t>
  </si>
  <si>
    <t xml:space="preserve">https://www.carfax.com/vehicle/2T3G1RFV2NC302638</t>
  </si>
  <si>
    <t xml:space="preserve">2T3RWRFV7RW192510</t>
  </si>
  <si>
    <t xml:space="preserve">https://www.carfax.com/vehicle/2T3RWRFV7RW192510</t>
  </si>
  <si>
    <t xml:space="preserve">4S4BTACC8R3244272</t>
  </si>
  <si>
    <t xml:space="preserve">https://www.carfax.com/vehicle/4S4BTACC8R3244272</t>
  </si>
  <si>
    <t xml:space="preserve">4S4BTACC7N3248145</t>
  </si>
  <si>
    <t xml:space="preserve">https://www.carfax.com/vehicle/4S4BTACC7N3248145</t>
  </si>
  <si>
    <t xml:space="preserve">4S4BTACCXP3130223</t>
  </si>
  <si>
    <t xml:space="preserve">https://www.carfax.com/vehicle/4S4BTACCXP3130223</t>
  </si>
</sst>
</file>

<file path=xl/styles.xml><?xml version="1.0" encoding="utf-8"?>
<styleSheet xmlns="http://schemas.openxmlformats.org/spreadsheetml/2006/main">
  <numFmts count="8">
    <numFmt numFmtId="164" formatCode="General"/>
    <numFmt numFmtId="165" formatCode="0%"/>
    <numFmt numFmtId="166" formatCode="0"/>
    <numFmt numFmtId="167" formatCode="\$#,##0"/>
    <numFmt numFmtId="168" formatCode="General"/>
    <numFmt numFmtId="169" formatCode="#,##0"/>
    <numFmt numFmtId="170" formatCode="0.0"/>
    <numFmt numFmtId="171"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0"/>
      <name val="Arial"/>
      <family val="0"/>
      <charset val="1"/>
    </font>
    <font>
      <sz val="10"/>
      <name val="Arial"/>
      <family val="0"/>
      <charset val="1"/>
    </font>
    <font>
      <b val="true"/>
      <sz val="12"/>
      <color rgb="FF2E5C8A"/>
      <name val="Arial"/>
      <family val="0"/>
      <charset val="1"/>
    </font>
    <font>
      <b val="true"/>
      <sz val="10"/>
      <color rgb="FFFFFFFF"/>
      <name val="Arial"/>
      <family val="0"/>
      <charset val="1"/>
    </font>
    <font>
      <i val="true"/>
      <sz val="9"/>
      <color rgb="FF595959"/>
      <name val="Arial"/>
      <family val="0"/>
      <charset val="1"/>
    </font>
    <font>
      <b val="true"/>
      <sz val="10"/>
      <color rgb="FF2E5C8A"/>
      <name val="Arial"/>
      <family val="0"/>
      <charset val="1"/>
    </font>
    <font>
      <i val="true"/>
      <sz val="10"/>
      <color rgb="FF595959"/>
      <name val="Arial"/>
      <family val="0"/>
      <charset val="1"/>
    </font>
    <font>
      <sz val="10"/>
      <color rgb="FF0000FF"/>
      <name val="Arial"/>
      <family val="0"/>
      <charset val="1"/>
    </font>
    <font>
      <sz val="9"/>
      <color rgb="FF595959"/>
      <name val="Arial"/>
      <family val="0"/>
      <charset val="1"/>
    </font>
    <font>
      <b val="true"/>
      <sz val="12"/>
      <color rgb="FF1F3864"/>
      <name val="Arial"/>
      <family val="0"/>
      <charset val="1"/>
    </font>
    <font>
      <b val="true"/>
      <sz val="10"/>
      <color rgb="FF008000"/>
      <name val="Arial"/>
      <family val="0"/>
      <charset val="1"/>
    </font>
    <font>
      <u val="single"/>
      <sz val="10"/>
      <color rgb="FF0563C1"/>
      <name val="Arial"/>
      <family val="0"/>
      <charset val="1"/>
    </font>
    <font>
      <sz val="9"/>
      <color rgb="FF0563C1"/>
      <name val="Arial"/>
      <family val="0"/>
      <charset val="1"/>
    </font>
    <font>
      <sz val="8"/>
      <color rgb="FF0563C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F2CC"/>
        <bgColor rgb="FFF2F2F2"/>
      </patternFill>
    </fill>
    <fill>
      <patternFill patternType="solid">
        <fgColor rgb="FFF2F2F2"/>
        <bgColor rgb="FFFFFFFF"/>
      </patternFill>
    </fill>
  </fills>
  <borders count="3">
    <border diagonalUp="false" diagonalDown="false">
      <left/>
      <right/>
      <top/>
      <bottom/>
      <diagonal/>
    </border>
    <border diagonalUp="false" diagonalDown="false">
      <left/>
      <right/>
      <top/>
      <bottom style="medium">
        <color rgb="FF2E5C8A"/>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6" fillId="3" borderId="2" xfId="0" applyFont="true" applyBorder="true" applyAlignment="true" applyProtection="false">
      <alignment horizontal="left" vertical="bottom" textRotation="0" wrapText="false" indent="0" shrinkToFit="false"/>
      <protection locked="true" hidden="false"/>
    </xf>
    <xf numFmtId="164" fontId="6" fillId="4" borderId="2"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7" fontId="13" fillId="4" borderId="2"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4" borderId="2" xfId="0" applyFont="true" applyBorder="true" applyAlignment="true" applyProtection="false">
      <alignment horizontal="center" vertical="bottom" textRotation="0" wrapText="false" indent="0" shrinkToFit="false"/>
      <protection locked="true" hidden="false"/>
    </xf>
    <xf numFmtId="168" fontId="13" fillId="4" borderId="2"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13" fillId="4" borderId="2"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3" fillId="4" borderId="2"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2"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center" vertical="bottom" textRotation="0" wrapText="false" indent="0" shrinkToFit="false"/>
      <protection locked="true" hidden="false"/>
    </xf>
    <xf numFmtId="170" fontId="6"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7" fontId="7" fillId="0" borderId="2" xfId="0" applyFont="true" applyBorder="true" applyAlignment="true" applyProtection="false">
      <alignment horizontal="center" vertical="bottom" textRotation="0" wrapText="false" indent="0" shrinkToFit="false"/>
      <protection locked="true" hidden="false"/>
    </xf>
    <xf numFmtId="169" fontId="7" fillId="0" borderId="2" xfId="0" applyFont="true" applyBorder="true" applyAlignment="true" applyProtection="false">
      <alignment horizontal="center" vertical="bottom" textRotation="0" wrapText="false" indent="0" shrinkToFit="false"/>
      <protection locked="true" hidden="false"/>
    </xf>
    <xf numFmtId="171" fontId="7" fillId="0" borderId="2" xfId="0" applyFont="true" applyBorder="true" applyAlignment="true" applyProtection="false">
      <alignment horizontal="center" vertical="bottom" textRotation="0" wrapText="false" indent="0" shrinkToFit="false"/>
      <protection locked="true" hidden="false"/>
    </xf>
    <xf numFmtId="170" fontId="7" fillId="0" borderId="2" xfId="0" applyFont="true" applyBorder="true" applyAlignment="true" applyProtection="false">
      <alignment horizontal="center" vertical="bottom" textRotation="0" wrapText="false" indent="0" shrinkToFit="false"/>
      <protection locked="true" hidden="false"/>
    </xf>
    <xf numFmtId="164" fontId="17" fillId="0" borderId="2" xfId="0" applyFont="true" applyBorder="true" applyAlignment="true" applyProtection="false">
      <alignment horizontal="lef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4" fontId="6" fillId="5" borderId="2"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tru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9" fontId="7" fillId="0" borderId="2"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ADD480"/>
          <bgColor rgb="FF000000"/>
        </patternFill>
      </fill>
    </dxf>
    <dxf>
      <fill>
        <patternFill patternType="solid">
          <fgColor rgb="FFBCD881"/>
          <bgColor rgb="FF000000"/>
        </patternFill>
      </fill>
    </dxf>
    <dxf>
      <fill>
        <patternFill patternType="solid">
          <fgColor rgb="FFC2DA81"/>
          <bgColor rgb="FF000000"/>
        </patternFill>
      </fill>
    </dxf>
    <dxf>
      <fill>
        <patternFill patternType="solid">
          <fgColor rgb="FFC8DB81"/>
          <bgColor rgb="FF000000"/>
        </patternFill>
      </fill>
    </dxf>
    <dxf>
      <fill>
        <patternFill patternType="solid">
          <fgColor rgb="FFD1DE82"/>
          <bgColor rgb="FF000000"/>
        </patternFill>
      </fill>
    </dxf>
    <dxf>
      <fill>
        <patternFill patternType="solid">
          <fgColor rgb="FFD2DE82"/>
          <bgColor rgb="FF000000"/>
        </patternFill>
      </fill>
    </dxf>
    <dxf>
      <fill>
        <patternFill patternType="solid">
          <fgColor rgb="FFD5DF82"/>
          <bgColor rgb="FF000000"/>
        </patternFill>
      </fill>
    </dxf>
    <dxf>
      <fill>
        <patternFill patternType="solid">
          <fgColor rgb="FFDEE283"/>
          <bgColor rgb="FF000000"/>
        </patternFill>
      </fill>
    </dxf>
    <dxf>
      <fill>
        <patternFill patternType="solid">
          <fgColor rgb="FFDFE283"/>
          <bgColor rgb="FF000000"/>
        </patternFill>
      </fill>
    </dxf>
    <dxf>
      <fill>
        <patternFill patternType="solid">
          <fgColor rgb="FFE2E383"/>
          <bgColor rgb="FF000000"/>
        </patternFill>
      </fill>
    </dxf>
    <dxf>
      <fill>
        <patternFill patternType="solid">
          <fgColor rgb="FFE4E383"/>
          <bgColor rgb="FF000000"/>
        </patternFill>
      </fill>
    </dxf>
    <dxf>
      <fill>
        <patternFill patternType="solid">
          <fgColor rgb="FFE7E483"/>
          <bgColor rgb="FF000000"/>
        </patternFill>
      </fill>
    </dxf>
    <dxf>
      <fill>
        <patternFill patternType="solid">
          <fgColor rgb="FFE9E583"/>
          <bgColor rgb="FF000000"/>
        </patternFill>
      </fill>
    </dxf>
    <dxf>
      <fill>
        <patternFill patternType="solid">
          <fgColor rgb="FFEAE583"/>
          <bgColor rgb="FF000000"/>
        </patternFill>
      </fill>
    </dxf>
    <dxf>
      <fill>
        <patternFill patternType="solid">
          <fgColor rgb="FFEEE683"/>
          <bgColor rgb="FF000000"/>
        </patternFill>
      </fill>
    </dxf>
    <dxf>
      <fill>
        <patternFill patternType="solid">
          <fgColor rgb="FFF4E884"/>
          <bgColor rgb="FF000000"/>
        </patternFill>
      </fill>
    </dxf>
    <dxf>
      <fill>
        <patternFill patternType="solid">
          <fgColor rgb="FFF8696B"/>
          <bgColor rgb="FF000000"/>
        </patternFill>
      </fill>
    </dxf>
    <dxf>
      <fill>
        <patternFill patternType="solid">
          <fgColor rgb="FFF87A6E"/>
          <bgColor rgb="FF000000"/>
        </patternFill>
      </fill>
    </dxf>
    <dxf>
      <fill>
        <patternFill patternType="solid">
          <fgColor rgb="FFFBA376"/>
          <bgColor rgb="FF000000"/>
        </patternFill>
      </fill>
    </dxf>
    <dxf>
      <fill>
        <patternFill patternType="solid">
          <fgColor rgb="FFFBA877"/>
          <bgColor rgb="FF000000"/>
        </patternFill>
      </fill>
    </dxf>
    <dxf>
      <fill>
        <patternFill patternType="solid">
          <fgColor rgb="FFFBB178"/>
          <bgColor rgb="FF000000"/>
        </patternFill>
      </fill>
    </dxf>
    <dxf>
      <fill>
        <patternFill patternType="solid">
          <fgColor rgb="FFFCB579"/>
          <bgColor rgb="FF000000"/>
        </patternFill>
      </fill>
    </dxf>
    <dxf>
      <fill>
        <patternFill patternType="solid">
          <fgColor rgb="FFFCB77A"/>
          <bgColor rgb="FF000000"/>
        </patternFill>
      </fill>
    </dxf>
    <dxf>
      <fill>
        <patternFill patternType="solid">
          <fgColor rgb="FFFCBE7B"/>
          <bgColor rgb="FF000000"/>
        </patternFill>
      </fill>
    </dxf>
    <dxf>
      <fill>
        <patternFill patternType="solid">
          <fgColor rgb="FFFCC57C"/>
          <bgColor rgb="FF000000"/>
        </patternFill>
      </fill>
    </dxf>
    <dxf>
      <fill>
        <patternFill patternType="solid">
          <fgColor rgb="FFFDCE7E"/>
          <bgColor rgb="FF000000"/>
        </patternFill>
      </fill>
    </dxf>
    <dxf>
      <fill>
        <patternFill patternType="solid">
          <fgColor rgb="FFFDD07E"/>
          <bgColor rgb="FF000000"/>
        </patternFill>
      </fill>
    </dxf>
    <dxf>
      <fill>
        <patternFill patternType="solid">
          <fgColor rgb="FFFDD57F"/>
          <bgColor rgb="FF000000"/>
        </patternFill>
      </fill>
    </dxf>
    <dxf>
      <fill>
        <patternFill patternType="solid">
          <fgColor rgb="FFFDD680"/>
          <bgColor rgb="FF000000"/>
        </patternFill>
      </fill>
    </dxf>
    <dxf>
      <fill>
        <patternFill patternType="solid">
          <fgColor rgb="FFFED980"/>
          <bgColor rgb="FF000000"/>
        </patternFill>
      </fill>
    </dxf>
    <dxf>
      <fill>
        <patternFill patternType="solid">
          <fgColor rgb="FFFEDC81"/>
          <bgColor rgb="FF000000"/>
        </patternFill>
      </fill>
    </dxf>
    <dxf>
      <fill>
        <patternFill patternType="solid">
          <fgColor rgb="FFFEE382"/>
          <bgColor rgb="FF000000"/>
        </patternFill>
      </fill>
    </dxf>
    <dxf>
      <fill>
        <patternFill patternType="solid">
          <fgColor rgb="FFFEE783"/>
          <bgColor rgb="FF000000"/>
        </patternFill>
      </fill>
    </dxf>
    <dxf>
      <fill>
        <patternFill patternType="solid">
          <fgColor rgb="FFFEE983"/>
          <bgColor rgb="FF000000"/>
        </patternFill>
      </fill>
    </dxf>
    <dxf>
      <fill>
        <patternFill patternType="solid">
          <fgColor rgb="FFFFEB84"/>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0563C1"/>
          <bgColor rgb="FF000000"/>
        </patternFill>
      </fill>
    </dxf>
    <dxf>
      <font>
        <name val="Arial"/>
        <charset val="1"/>
        <family val="0"/>
        <b val="1"/>
        <color rgb="FF006100"/>
        <sz val="10"/>
      </font>
      <fill>
        <patternFill>
          <bgColor rgb="FFC6EFCE"/>
        </patternFill>
      </fill>
    </dxf>
    <dxf>
      <font>
        <name val="Arial"/>
        <charset val="1"/>
        <family val="0"/>
        <color rgb="FF9C0006"/>
        <sz val="10"/>
      </font>
      <fill>
        <patternFill>
          <bgColor rgb="FFFFC7CE"/>
        </patternFill>
      </fill>
    </dxf>
    <dxf>
      <fill>
        <patternFill patternType="solid">
          <fgColor rgb="FF97CD7E"/>
          <bgColor rgb="FF000000"/>
        </patternFill>
      </fill>
    </dxf>
    <dxf>
      <fill>
        <patternFill patternType="solid">
          <fgColor rgb="FF9ACE7F"/>
          <bgColor rgb="FF000000"/>
        </patternFill>
      </fill>
    </dxf>
    <dxf>
      <fill>
        <patternFill patternType="solid">
          <fgColor rgb="FFA0D07F"/>
          <bgColor rgb="FF000000"/>
        </patternFill>
      </fill>
    </dxf>
    <dxf>
      <fill>
        <patternFill patternType="solid">
          <fgColor rgb="FFA2D17F"/>
          <bgColor rgb="FF000000"/>
        </patternFill>
      </fill>
    </dxf>
    <dxf>
      <fill>
        <patternFill patternType="solid">
          <fgColor rgb="FFA6D27F"/>
          <bgColor rgb="FF000000"/>
        </patternFill>
      </fill>
    </dxf>
    <dxf>
      <fill>
        <patternFill patternType="solid">
          <fgColor rgb="FFA7D27F"/>
          <bgColor rgb="FF000000"/>
        </patternFill>
      </fill>
    </dxf>
    <dxf>
      <fill>
        <patternFill patternType="solid">
          <fgColor rgb="FFABD380"/>
          <bgColor rgb="FF000000"/>
        </patternFill>
      </fill>
    </dxf>
    <dxf>
      <fill>
        <patternFill patternType="solid">
          <fgColor rgb="FFAED480"/>
          <bgColor rgb="FF000000"/>
        </patternFill>
      </fill>
    </dxf>
    <dxf>
      <fill>
        <patternFill patternType="solid">
          <fgColor rgb="FFB0D480"/>
          <bgColor rgb="FF000000"/>
        </patternFill>
      </fill>
    </dxf>
    <dxf>
      <fill>
        <patternFill patternType="solid">
          <fgColor rgb="FFB0D580"/>
          <bgColor rgb="FF000000"/>
        </patternFill>
      </fill>
    </dxf>
    <dxf>
      <fill>
        <patternFill patternType="solid">
          <fgColor rgb="FFB1D580"/>
          <bgColor rgb="FF000000"/>
        </patternFill>
      </fill>
    </dxf>
    <dxf>
      <fill>
        <patternFill patternType="solid">
          <fgColor rgb="FFB2D580"/>
          <bgColor rgb="FF000000"/>
        </patternFill>
      </fill>
    </dxf>
    <dxf>
      <fill>
        <patternFill patternType="solid">
          <fgColor rgb="FFB4D680"/>
          <bgColor rgb="FF000000"/>
        </patternFill>
      </fill>
    </dxf>
    <dxf>
      <fill>
        <patternFill patternType="solid">
          <fgColor rgb="FFB9D780"/>
          <bgColor rgb="FF000000"/>
        </patternFill>
      </fill>
    </dxf>
    <dxf>
      <fill>
        <patternFill patternType="solid">
          <fgColor rgb="FFBAD881"/>
          <bgColor rgb="FF000000"/>
        </patternFill>
      </fill>
    </dxf>
    <dxf>
      <fill>
        <patternFill patternType="solid">
          <fgColor rgb="FFBBD881"/>
          <bgColor rgb="FF000000"/>
        </patternFill>
      </fill>
    </dxf>
    <dxf>
      <fill>
        <patternFill patternType="solid">
          <fgColor rgb="FFBDD881"/>
          <bgColor rgb="FF000000"/>
        </patternFill>
      </fill>
    </dxf>
    <dxf>
      <fill>
        <patternFill patternType="solid">
          <fgColor rgb="FFBED981"/>
          <bgColor rgb="FF000000"/>
        </patternFill>
      </fill>
    </dxf>
    <dxf>
      <fill>
        <patternFill patternType="solid">
          <fgColor rgb="FFC0D981"/>
          <bgColor rgb="FF000000"/>
        </patternFill>
      </fill>
    </dxf>
    <dxf>
      <fill>
        <patternFill patternType="solid">
          <fgColor rgb="FFC1D981"/>
          <bgColor rgb="FF000000"/>
        </patternFill>
      </fill>
    </dxf>
    <dxf>
      <fill>
        <patternFill patternType="solid">
          <fgColor rgb="FFC3DA81"/>
          <bgColor rgb="FF000000"/>
        </patternFill>
      </fill>
    </dxf>
    <dxf>
      <fill>
        <patternFill patternType="solid">
          <fgColor rgb="FFC5DB81"/>
          <bgColor rgb="FF000000"/>
        </patternFill>
      </fill>
    </dxf>
    <dxf>
      <fill>
        <patternFill patternType="solid">
          <fgColor rgb="FFC6DB81"/>
          <bgColor rgb="FF000000"/>
        </patternFill>
      </fill>
    </dxf>
    <dxf>
      <fill>
        <patternFill patternType="solid">
          <fgColor rgb="FFC7DB81"/>
          <bgColor rgb="FF000000"/>
        </patternFill>
      </fill>
    </dxf>
    <dxf>
      <fill>
        <patternFill patternType="solid">
          <fgColor rgb="FFC9DC81"/>
          <bgColor rgb="FF000000"/>
        </patternFill>
      </fill>
    </dxf>
    <dxf>
      <fill>
        <patternFill patternType="solid">
          <fgColor rgb="FFCADC81"/>
          <bgColor rgb="FF000000"/>
        </patternFill>
      </fill>
    </dxf>
    <dxf>
      <fill>
        <patternFill patternType="solid">
          <fgColor rgb="FFCEDD82"/>
          <bgColor rgb="FF000000"/>
        </patternFill>
      </fill>
    </dxf>
    <dxf>
      <fill>
        <patternFill patternType="solid">
          <fgColor rgb="FFD3DF82"/>
          <bgColor rgb="FF000000"/>
        </patternFill>
      </fill>
    </dxf>
    <dxf>
      <fill>
        <patternFill patternType="solid">
          <fgColor rgb="FFD4DF82"/>
          <bgColor rgb="FF000000"/>
        </patternFill>
      </fill>
    </dxf>
    <dxf>
      <fill>
        <patternFill patternType="solid">
          <fgColor rgb="FFD7E082"/>
          <bgColor rgb="FF000000"/>
        </patternFill>
      </fill>
    </dxf>
    <dxf>
      <fill>
        <patternFill patternType="solid">
          <fgColor rgb="FFD8E082"/>
          <bgColor rgb="FF000000"/>
        </patternFill>
      </fill>
    </dxf>
    <dxf>
      <fill>
        <patternFill patternType="solid">
          <fgColor rgb="FFD9E082"/>
          <bgColor rgb="FF000000"/>
        </patternFill>
      </fill>
    </dxf>
    <dxf>
      <fill>
        <patternFill patternType="solid">
          <fgColor rgb="FFDBE182"/>
          <bgColor rgb="FF000000"/>
        </patternFill>
      </fill>
    </dxf>
    <dxf>
      <fill>
        <patternFill patternType="solid">
          <fgColor rgb="FFDCE182"/>
          <bgColor rgb="FF000000"/>
        </patternFill>
      </fill>
    </dxf>
    <dxf>
      <fill>
        <patternFill patternType="solid">
          <fgColor rgb="FFDDE283"/>
          <bgColor rgb="FF000000"/>
        </patternFill>
      </fill>
    </dxf>
    <dxf>
      <fill>
        <patternFill patternType="solid">
          <fgColor rgb="FFE1E383"/>
          <bgColor rgb="FF000000"/>
        </patternFill>
      </fill>
    </dxf>
    <dxf>
      <fill>
        <patternFill patternType="solid">
          <fgColor rgb="FFE3E383"/>
          <bgColor rgb="FF000000"/>
        </patternFill>
      </fill>
    </dxf>
    <dxf>
      <fill>
        <patternFill patternType="solid">
          <fgColor rgb="FFE4E483"/>
          <bgColor rgb="FF000000"/>
        </patternFill>
      </fill>
    </dxf>
    <dxf>
      <fill>
        <patternFill patternType="solid">
          <fgColor rgb="FFE5E483"/>
          <bgColor rgb="FF000000"/>
        </patternFill>
      </fill>
    </dxf>
    <dxf>
      <fill>
        <patternFill patternType="solid">
          <fgColor rgb="FFE8E583"/>
          <bgColor rgb="FF000000"/>
        </patternFill>
      </fill>
    </dxf>
    <dxf>
      <fill>
        <patternFill patternType="solid">
          <fgColor rgb="FFEBE683"/>
          <bgColor rgb="FF000000"/>
        </patternFill>
      </fill>
    </dxf>
    <dxf>
      <fill>
        <patternFill patternType="solid">
          <fgColor rgb="FFECE683"/>
          <bgColor rgb="FF000000"/>
        </patternFill>
      </fill>
    </dxf>
    <dxf>
      <fill>
        <patternFill patternType="solid">
          <fgColor rgb="FFEDE683"/>
          <bgColor rgb="FF000000"/>
        </patternFill>
      </fill>
    </dxf>
    <dxf>
      <fill>
        <patternFill patternType="solid">
          <fgColor rgb="FFEFE784"/>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2E884"/>
          <bgColor rgb="FF000000"/>
        </patternFill>
      </fill>
    </dxf>
    <dxf>
      <fill>
        <patternFill patternType="solid">
          <fgColor rgb="FFF5E884"/>
          <bgColor rgb="FF000000"/>
        </patternFill>
      </fill>
    </dxf>
    <dxf>
      <fill>
        <patternFill patternType="solid">
          <fgColor rgb="FFF6E984"/>
          <bgColor rgb="FF000000"/>
        </patternFill>
      </fill>
    </dxf>
    <dxf>
      <fill>
        <patternFill patternType="solid">
          <fgColor rgb="FFF7E984"/>
          <bgColor rgb="FF000000"/>
        </patternFill>
      </fill>
    </dxf>
    <dxf>
      <fill>
        <patternFill patternType="solid">
          <fgColor rgb="FFF87B6E"/>
          <bgColor rgb="FF000000"/>
        </patternFill>
      </fill>
    </dxf>
    <dxf>
      <fill>
        <patternFill patternType="solid">
          <fgColor rgb="FFF8E984"/>
          <bgColor rgb="FF000000"/>
        </patternFill>
      </fill>
    </dxf>
    <dxf>
      <fill>
        <patternFill patternType="solid">
          <fgColor rgb="FFF97B6E"/>
          <bgColor rgb="FF000000"/>
        </patternFill>
      </fill>
    </dxf>
    <dxf>
      <fill>
        <patternFill patternType="solid">
          <fgColor rgb="FFF97C6E"/>
          <bgColor rgb="FF000000"/>
        </patternFill>
      </fill>
    </dxf>
    <dxf>
      <fill>
        <patternFill patternType="solid">
          <fgColor rgb="FFF97E6F"/>
          <bgColor rgb="FF000000"/>
        </patternFill>
      </fill>
    </dxf>
    <dxf>
      <fill>
        <patternFill patternType="solid">
          <fgColor rgb="FFF98370"/>
          <bgColor rgb="FF000000"/>
        </patternFill>
      </fill>
    </dxf>
    <dxf>
      <fill>
        <patternFill patternType="solid">
          <fgColor rgb="FFF98470"/>
          <bgColor rgb="FF000000"/>
        </patternFill>
      </fill>
    </dxf>
    <dxf>
      <fill>
        <patternFill patternType="solid">
          <fgColor rgb="FFF98B71"/>
          <bgColor rgb="FF000000"/>
        </patternFill>
      </fill>
    </dxf>
    <dxf>
      <fill>
        <patternFill patternType="solid">
          <fgColor rgb="FFFA9272"/>
          <bgColor rgb="FF000000"/>
        </patternFill>
      </fill>
    </dxf>
    <dxf>
      <fill>
        <patternFill patternType="solid">
          <fgColor rgb="FFFA9573"/>
          <bgColor rgb="FF000000"/>
        </patternFill>
      </fill>
    </dxf>
    <dxf>
      <fill>
        <patternFill patternType="solid">
          <fgColor rgb="FFFA9C74"/>
          <bgColor rgb="FF000000"/>
        </patternFill>
      </fill>
    </dxf>
    <dxf>
      <fill>
        <patternFill patternType="solid">
          <fgColor rgb="FFFA9D75"/>
          <bgColor rgb="FF000000"/>
        </patternFill>
      </fill>
    </dxf>
    <dxf>
      <fill>
        <patternFill patternType="solid">
          <fgColor rgb="FFFAEA84"/>
          <bgColor rgb="FF000000"/>
        </patternFill>
      </fill>
    </dxf>
    <dxf>
      <fill>
        <patternFill patternType="solid">
          <fgColor rgb="FFFBA175"/>
          <bgColor rgb="FF000000"/>
        </patternFill>
      </fill>
    </dxf>
    <dxf>
      <fill>
        <patternFill patternType="solid">
          <fgColor rgb="FFFBA476"/>
          <bgColor rgb="FF000000"/>
        </patternFill>
      </fill>
    </dxf>
    <dxf>
      <fill>
        <patternFill patternType="solid">
          <fgColor rgb="FFFBA576"/>
          <bgColor rgb="FF000000"/>
        </patternFill>
      </fill>
    </dxf>
    <dxf>
      <fill>
        <patternFill patternType="solid">
          <fgColor rgb="FFFBA977"/>
          <bgColor rgb="FF000000"/>
        </patternFill>
      </fill>
    </dxf>
    <dxf>
      <fill>
        <patternFill patternType="solid">
          <fgColor rgb="FFFBAA77"/>
          <bgColor rgb="FF000000"/>
        </patternFill>
      </fill>
    </dxf>
    <dxf>
      <fill>
        <patternFill patternType="solid">
          <fgColor rgb="FFFBAC77"/>
          <bgColor rgb="FF000000"/>
        </patternFill>
      </fill>
    </dxf>
    <dxf>
      <fill>
        <patternFill patternType="solid">
          <fgColor rgb="FFFBAC78"/>
          <bgColor rgb="FF000000"/>
        </patternFill>
      </fill>
    </dxf>
    <dxf>
      <fill>
        <patternFill patternType="solid">
          <fgColor rgb="FFFBAD78"/>
          <bgColor rgb="FF000000"/>
        </patternFill>
      </fill>
    </dxf>
    <dxf>
      <fill>
        <patternFill patternType="solid">
          <fgColor rgb="FFFBAF78"/>
          <bgColor rgb="FF000000"/>
        </patternFill>
      </fill>
    </dxf>
    <dxf>
      <fill>
        <patternFill patternType="solid">
          <fgColor rgb="FFFBB078"/>
          <bgColor rgb="FF000000"/>
        </patternFill>
      </fill>
    </dxf>
    <dxf>
      <fill>
        <patternFill patternType="solid">
          <fgColor rgb="FFFBB279"/>
          <bgColor rgb="FF000000"/>
        </patternFill>
      </fill>
    </dxf>
    <dxf>
      <fill>
        <patternFill patternType="solid">
          <fgColor rgb="FFFBB379"/>
          <bgColor rgb="FF000000"/>
        </patternFill>
      </fill>
    </dxf>
    <dxf>
      <fill>
        <patternFill patternType="solid">
          <fgColor rgb="FFFBEA84"/>
          <bgColor rgb="FF000000"/>
        </patternFill>
      </fill>
    </dxf>
    <dxf>
      <fill>
        <patternFill patternType="solid">
          <fgColor rgb="FFFCB679"/>
          <bgColor rgb="FF000000"/>
        </patternFill>
      </fill>
    </dxf>
    <dxf>
      <fill>
        <patternFill patternType="solid">
          <fgColor rgb="FFFCB87A"/>
          <bgColor rgb="FF000000"/>
        </patternFill>
      </fill>
    </dxf>
    <dxf>
      <fill>
        <patternFill patternType="solid">
          <fgColor rgb="FFFCBA7A"/>
          <bgColor rgb="FF000000"/>
        </patternFill>
      </fill>
    </dxf>
    <dxf>
      <fill>
        <patternFill patternType="solid">
          <fgColor rgb="FFFCBB7A"/>
          <bgColor rgb="FF000000"/>
        </patternFill>
      </fill>
    </dxf>
    <dxf>
      <fill>
        <patternFill patternType="solid">
          <fgColor rgb="FFFCBD7B"/>
          <bgColor rgb="FF000000"/>
        </patternFill>
      </fill>
    </dxf>
    <dxf>
      <fill>
        <patternFill patternType="solid">
          <fgColor rgb="FFFCC07B"/>
          <bgColor rgb="FF000000"/>
        </patternFill>
      </fill>
    </dxf>
    <dxf>
      <fill>
        <patternFill patternType="solid">
          <fgColor rgb="FFFCC27C"/>
          <bgColor rgb="FF000000"/>
        </patternFill>
      </fill>
    </dxf>
    <dxf>
      <fill>
        <patternFill patternType="solid">
          <fgColor rgb="FFFCC37C"/>
          <bgColor rgb="FF000000"/>
        </patternFill>
      </fill>
    </dxf>
    <dxf>
      <fill>
        <patternFill patternType="solid">
          <fgColor rgb="FFFCC47C"/>
          <bgColor rgb="FF000000"/>
        </patternFill>
      </fill>
    </dxf>
    <dxf>
      <fill>
        <patternFill patternType="solid">
          <fgColor rgb="FFFDC67C"/>
          <bgColor rgb="FF000000"/>
        </patternFill>
      </fill>
    </dxf>
    <dxf>
      <fill>
        <patternFill patternType="solid">
          <fgColor rgb="FFFDC77D"/>
          <bgColor rgb="FF000000"/>
        </patternFill>
      </fill>
    </dxf>
    <dxf>
      <fill>
        <patternFill patternType="solid">
          <fgColor rgb="FFFDC87D"/>
          <bgColor rgb="FF000000"/>
        </patternFill>
      </fill>
    </dxf>
    <dxf>
      <fill>
        <patternFill patternType="solid">
          <fgColor rgb="FFFDC97D"/>
          <bgColor rgb="FF000000"/>
        </patternFill>
      </fill>
    </dxf>
    <dxf>
      <fill>
        <patternFill patternType="solid">
          <fgColor rgb="FFFDCB7D"/>
          <bgColor rgb="FF000000"/>
        </patternFill>
      </fill>
    </dxf>
    <dxf>
      <fill>
        <patternFill patternType="solid">
          <fgColor rgb="FFFDCC7E"/>
          <bgColor rgb="FF000000"/>
        </patternFill>
      </fill>
    </dxf>
    <dxf>
      <fill>
        <patternFill patternType="solid">
          <fgColor rgb="FFFDCD7E"/>
          <bgColor rgb="FF000000"/>
        </patternFill>
      </fill>
    </dxf>
    <dxf>
      <fill>
        <patternFill patternType="solid">
          <fgColor rgb="FFFDCF7E"/>
          <bgColor rgb="FF000000"/>
        </patternFill>
      </fill>
    </dxf>
    <dxf>
      <fill>
        <patternFill patternType="solid">
          <fgColor rgb="FFFDD27F"/>
          <bgColor rgb="FF000000"/>
        </patternFill>
      </fill>
    </dxf>
    <dxf>
      <fill>
        <patternFill patternType="solid">
          <fgColor rgb="FFFDD37F"/>
          <bgColor rgb="FF000000"/>
        </patternFill>
      </fill>
    </dxf>
    <dxf>
      <fill>
        <patternFill patternType="solid">
          <fgColor rgb="FFFDD47F"/>
          <bgColor rgb="FF000000"/>
        </patternFill>
      </fill>
    </dxf>
    <dxf>
      <fill>
        <patternFill patternType="solid">
          <fgColor rgb="FFFDD67F"/>
          <bgColor rgb="FF000000"/>
        </patternFill>
      </fill>
    </dxf>
    <dxf>
      <fill>
        <patternFill patternType="solid">
          <fgColor rgb="FFFDD780"/>
          <bgColor rgb="FF000000"/>
        </patternFill>
      </fill>
    </dxf>
    <dxf>
      <fill>
        <patternFill patternType="solid">
          <fgColor rgb="FFFDD880"/>
          <bgColor rgb="FF000000"/>
        </patternFill>
      </fill>
    </dxf>
    <dxf>
      <fill>
        <patternFill patternType="solid">
          <fgColor rgb="FFFDEB84"/>
          <bgColor rgb="FF000000"/>
        </patternFill>
      </fill>
    </dxf>
    <dxf>
      <fill>
        <patternFill patternType="solid">
          <fgColor rgb="FFFEDA80"/>
          <bgColor rgb="FF000000"/>
        </patternFill>
      </fill>
    </dxf>
    <dxf>
      <fill>
        <patternFill patternType="solid">
          <fgColor rgb="FFFEDD81"/>
          <bgColor rgb="FF000000"/>
        </patternFill>
      </fill>
    </dxf>
    <dxf>
      <fill>
        <patternFill patternType="solid">
          <fgColor rgb="FFFEDE81"/>
          <bgColor rgb="FF000000"/>
        </patternFill>
      </fill>
    </dxf>
    <dxf>
      <fill>
        <patternFill patternType="solid">
          <fgColor rgb="FFFEDF81"/>
          <bgColor rgb="FF000000"/>
        </patternFill>
      </fill>
    </dxf>
    <dxf>
      <fill>
        <patternFill patternType="solid">
          <fgColor rgb="FFFEE081"/>
          <bgColor rgb="FF000000"/>
        </patternFill>
      </fill>
    </dxf>
    <dxf>
      <fill>
        <patternFill patternType="solid">
          <fgColor rgb="FFFEE182"/>
          <bgColor rgb="FF000000"/>
        </patternFill>
      </fill>
    </dxf>
    <dxf>
      <fill>
        <patternFill patternType="solid">
          <fgColor rgb="FFFEE282"/>
          <bgColor rgb="FF000000"/>
        </patternFill>
      </fill>
    </dxf>
    <dxf>
      <fill>
        <patternFill patternType="solid">
          <fgColor rgb="FFFEEA83"/>
          <bgColor rgb="FF000000"/>
        </patternFill>
      </fill>
    </dxf>
    <dxf>
      <fill>
        <patternFill patternType="solid">
          <fgColor rgb="FFFEEB84"/>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carfax.com/vehicle/2HKRS4H73TH412625" TargetMode="External"/><Relationship Id="rId2" Type="http://schemas.openxmlformats.org/officeDocument/2006/relationships/hyperlink" Target="https://www.carfax.com/vehicle/5J6RS4H46SL018336" TargetMode="External"/><Relationship Id="rId3" Type="http://schemas.openxmlformats.org/officeDocument/2006/relationships/hyperlink" Target="https://www.carfax.com/vehicle/4S4BTANC7S3132470" TargetMode="External"/><Relationship Id="rId4" Type="http://schemas.openxmlformats.org/officeDocument/2006/relationships/hyperlink" Target="https://www.carfax.com/vehicle/7FARS6H5XRE073206" TargetMode="External"/><Relationship Id="rId5" Type="http://schemas.openxmlformats.org/officeDocument/2006/relationships/hyperlink" Target="https://www.carfax.com/vehicle/7FARS6H69TE031075" TargetMode="External"/><Relationship Id="rId6" Type="http://schemas.openxmlformats.org/officeDocument/2006/relationships/hyperlink" Target="https://www.carfax.com/vehicle/5J6RS6H93PL004196" TargetMode="External"/><Relationship Id="rId7" Type="http://schemas.openxmlformats.org/officeDocument/2006/relationships/hyperlink" Target="https://www.carfax.com/vehicle/7FARS4H4XSE002962" TargetMode="External"/><Relationship Id="rId8" Type="http://schemas.openxmlformats.org/officeDocument/2006/relationships/hyperlink" Target="https://www.carfax.com/vehicle/7FARS6H82SE006423" TargetMode="External"/><Relationship Id="rId9" Type="http://schemas.openxmlformats.org/officeDocument/2006/relationships/hyperlink" Target="https://www.carfax.com/vehicle/2T3N1RFV3RW451961" TargetMode="External"/><Relationship Id="rId10" Type="http://schemas.openxmlformats.org/officeDocument/2006/relationships/hyperlink" Target="https://www.carfax.com/vehicle/7FARS6H8XRE020161" TargetMode="External"/><Relationship Id="rId11" Type="http://schemas.openxmlformats.org/officeDocument/2006/relationships/hyperlink" Target="https://www.carfax.com/vehicle/5J6RS4H76PL000890" TargetMode="External"/><Relationship Id="rId12" Type="http://schemas.openxmlformats.org/officeDocument/2006/relationships/hyperlink" Target="https://www.carfax.com/vehicle/7FARS6H92RE014122" TargetMode="External"/><Relationship Id="rId13" Type="http://schemas.openxmlformats.org/officeDocument/2006/relationships/hyperlink" Target="https://www.carfax.com/vehicle/7FARS6H84RE043984" TargetMode="External"/><Relationship Id="rId14" Type="http://schemas.openxmlformats.org/officeDocument/2006/relationships/hyperlink" Target="https://www.carfax.com/vehicle/4T3RWRFV4SU211732" TargetMode="External"/><Relationship Id="rId15" Type="http://schemas.openxmlformats.org/officeDocument/2006/relationships/hyperlink" Target="https://www.carfax.com/vehicle/JTMRWRFV5SD591595" TargetMode="External"/><Relationship Id="rId16" Type="http://schemas.openxmlformats.org/officeDocument/2006/relationships/hyperlink" Target="https://www.carfax.com/vehicle/4S4BTALC4S3182780" TargetMode="External"/><Relationship Id="rId17" Type="http://schemas.openxmlformats.org/officeDocument/2006/relationships/hyperlink" Target="https://www.carfax.com/vehicle/7FARS6H88SE008967" TargetMode="External"/><Relationship Id="rId18" Type="http://schemas.openxmlformats.org/officeDocument/2006/relationships/hyperlink" Target="https://www.carfax.com/vehicle/4S4BTALC3S3187209" TargetMode="External"/><Relationship Id="rId19" Type="http://schemas.openxmlformats.org/officeDocument/2006/relationships/hyperlink" Target="https://www.carfax.com/vehicle/2T3A1RFV1SW502278" TargetMode="External"/><Relationship Id="rId20" Type="http://schemas.openxmlformats.org/officeDocument/2006/relationships/hyperlink" Target="https://www.carfax.com/vehicle/7FARS6H56RE044785" TargetMode="External"/><Relationship Id="rId21" Type="http://schemas.openxmlformats.org/officeDocument/2006/relationships/hyperlink" Target="https://www.carfax.com/vehicle/7FARS6H89SE024319" TargetMode="External"/><Relationship Id="rId22" Type="http://schemas.openxmlformats.org/officeDocument/2006/relationships/hyperlink" Target="https://www.carfax.com/vehicle/4S4BTGND3R3143827" TargetMode="External"/><Relationship Id="rId23" Type="http://schemas.openxmlformats.org/officeDocument/2006/relationships/hyperlink" Target="https://www.carfax.com/vehicle/5J6RW2H87NA000701" TargetMode="External"/><Relationship Id="rId24" Type="http://schemas.openxmlformats.org/officeDocument/2006/relationships/hyperlink" Target="https://www.carfax.com/vehicle/7FARS6H86SE022138" TargetMode="External"/><Relationship Id="rId25" Type="http://schemas.openxmlformats.org/officeDocument/2006/relationships/hyperlink" Target="https://www.carfax.com/vehicle/3CZRZ2H51SM757265" TargetMode="External"/><Relationship Id="rId26" Type="http://schemas.openxmlformats.org/officeDocument/2006/relationships/hyperlink" Target="https://www.carfax.com/vehicle/2T3P1RFV7SC536558" TargetMode="External"/><Relationship Id="rId27" Type="http://schemas.openxmlformats.org/officeDocument/2006/relationships/hyperlink" Target="https://www.carfax.com/vehicle/7FARS4H46PE011892" TargetMode="External"/><Relationship Id="rId28" Type="http://schemas.openxmlformats.org/officeDocument/2006/relationships/hyperlink" Target="https://www.carfax.com/vehicle/2HKRS4H49SH430180" TargetMode="External"/><Relationship Id="rId29" Type="http://schemas.openxmlformats.org/officeDocument/2006/relationships/hyperlink" Target="https://www.carfax.com/vehicle/JTERU5JR4N6047375" TargetMode="External"/><Relationship Id="rId30" Type="http://schemas.openxmlformats.org/officeDocument/2006/relationships/hyperlink" Target="https://www.carfax.com/vehicle/2HKRS4H44SH448795" TargetMode="External"/><Relationship Id="rId31" Type="http://schemas.openxmlformats.org/officeDocument/2006/relationships/hyperlink" Target="https://www.carfax.com/vehicle/5J6RT6H88NL023795" TargetMode="External"/><Relationship Id="rId32" Type="http://schemas.openxmlformats.org/officeDocument/2006/relationships/hyperlink" Target="https://www.carfax.com/vehicle/4S4BTAFC6R3136342" TargetMode="External"/><Relationship Id="rId33" Type="http://schemas.openxmlformats.org/officeDocument/2006/relationships/hyperlink" Target="https://www.carfax.com/vehicle/4S4BTALC5R3189893" TargetMode="External"/><Relationship Id="rId34" Type="http://schemas.openxmlformats.org/officeDocument/2006/relationships/hyperlink" Target="https://www.carfax.com/vehicle/5J6RS6H84RL038433" TargetMode="External"/><Relationship Id="rId35" Type="http://schemas.openxmlformats.org/officeDocument/2006/relationships/hyperlink" Target="https://www.carfax.com/vehicle/4S4BTADC9P3197765" TargetMode="External"/><Relationship Id="rId36" Type="http://schemas.openxmlformats.org/officeDocument/2006/relationships/hyperlink" Target="https://www.carfax.com/vehicle/4S4BTAFC1R3240916" TargetMode="External"/><Relationship Id="rId37"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www.carfax.com/vehicle/2HKRS4H73TH412625" TargetMode="External"/><Relationship Id="rId2" Type="http://schemas.openxmlformats.org/officeDocument/2006/relationships/hyperlink" Target="https://www.carfax.com/vehicle/5J6RS4H46SL018336" TargetMode="External"/><Relationship Id="rId3" Type="http://schemas.openxmlformats.org/officeDocument/2006/relationships/hyperlink" Target="https://www.carfax.com/vehicle/4S4BTANC7S3132470" TargetMode="External"/><Relationship Id="rId4" Type="http://schemas.openxmlformats.org/officeDocument/2006/relationships/hyperlink" Target="https://www.carfax.com/vehicle/7FARS6H5XRE073206" TargetMode="External"/><Relationship Id="rId5" Type="http://schemas.openxmlformats.org/officeDocument/2006/relationships/hyperlink" Target="https://www.carfax.com/vehicle/7FARS6H69TE031075" TargetMode="External"/><Relationship Id="rId6" Type="http://schemas.openxmlformats.org/officeDocument/2006/relationships/hyperlink" Target="https://www.carfax.com/vehicle/5J6RS6H93PL004196" TargetMode="External"/><Relationship Id="rId7" Type="http://schemas.openxmlformats.org/officeDocument/2006/relationships/hyperlink" Target="https://www.carfax.com/vehicle/7FARS4H4XSE002962" TargetMode="External"/><Relationship Id="rId8" Type="http://schemas.openxmlformats.org/officeDocument/2006/relationships/hyperlink" Target="https://www.carfax.com/vehicle/7FARS6H82SE006423" TargetMode="External"/><Relationship Id="rId9" Type="http://schemas.openxmlformats.org/officeDocument/2006/relationships/hyperlink" Target="https://www.carfax.com/vehicle/2T3N1RFV3RW451961" TargetMode="External"/><Relationship Id="rId10" Type="http://schemas.openxmlformats.org/officeDocument/2006/relationships/hyperlink" Target="https://www.carfax.com/vehicle/7FARS6H8XRE020161"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www.carfax.com/vehicle/2HKRS4H73TH412625" TargetMode="External"/><Relationship Id="rId2" Type="http://schemas.openxmlformats.org/officeDocument/2006/relationships/hyperlink" Target="https://www.carfax.com/vehicle/5J6RS4H46SL018336" TargetMode="External"/><Relationship Id="rId3" Type="http://schemas.openxmlformats.org/officeDocument/2006/relationships/hyperlink" Target="https://www.carfax.com/vehicle/4S4BTANC9S3315353" TargetMode="External"/><Relationship Id="rId4" Type="http://schemas.openxmlformats.org/officeDocument/2006/relationships/hyperlink" Target="https://www.carfax.com/vehicle/2T3C1RFV9SW407573" TargetMode="External"/><Relationship Id="rId5" Type="http://schemas.openxmlformats.org/officeDocument/2006/relationships/hyperlink" Target="https://www.carfax.com/vehicle/4S4BTANC7S3132470" TargetMode="External"/><Relationship Id="rId6" Type="http://schemas.openxmlformats.org/officeDocument/2006/relationships/hyperlink" Target="https://www.carfax.com/vehicle/2T3P1RFV9SW625840" TargetMode="External"/><Relationship Id="rId7" Type="http://schemas.openxmlformats.org/officeDocument/2006/relationships/hyperlink" Target="https://www.carfax.com/vehicle/5J6RS6H52RL023287" TargetMode="External"/><Relationship Id="rId8" Type="http://schemas.openxmlformats.org/officeDocument/2006/relationships/hyperlink" Target="https://www.carfax.com/vehicle/7FARS6H5XRE073206" TargetMode="External"/><Relationship Id="rId9" Type="http://schemas.openxmlformats.org/officeDocument/2006/relationships/hyperlink" Target="https://www.carfax.com/vehicle/7FARS6H69TE031075" TargetMode="External"/><Relationship Id="rId10" Type="http://schemas.openxmlformats.org/officeDocument/2006/relationships/hyperlink" Target="https://www.carfax.com/vehicle/3CZRZ2H72PM717026" TargetMode="External"/><Relationship Id="rId11" Type="http://schemas.openxmlformats.org/officeDocument/2006/relationships/hyperlink" Target="https://www.carfax.com/vehicle/3CZRZ2H34RM718890" TargetMode="External"/><Relationship Id="rId12" Type="http://schemas.openxmlformats.org/officeDocument/2006/relationships/hyperlink" Target="https://www.carfax.com/vehicle/4S4BTALC1S3218764" TargetMode="External"/><Relationship Id="rId13" Type="http://schemas.openxmlformats.org/officeDocument/2006/relationships/hyperlink" Target="https://www.carfax.com/vehicle/5J6RS6H93PL004196" TargetMode="External"/><Relationship Id="rId14" Type="http://schemas.openxmlformats.org/officeDocument/2006/relationships/hyperlink" Target="https://www.carfax.com/vehicle/7FARS4H4XSE002962" TargetMode="External"/><Relationship Id="rId15" Type="http://schemas.openxmlformats.org/officeDocument/2006/relationships/hyperlink" Target="https://www.carfax.com/vehicle/7FARS6H82SE006423" TargetMode="External"/><Relationship Id="rId16" Type="http://schemas.openxmlformats.org/officeDocument/2006/relationships/hyperlink" Target="https://www.carfax.com/vehicle/2T3P1RFV7SW568876" TargetMode="External"/><Relationship Id="rId17" Type="http://schemas.openxmlformats.org/officeDocument/2006/relationships/hyperlink" Target="https://www.carfax.com/vehicle/2T3H1RFV3SW373233" TargetMode="External"/><Relationship Id="rId18" Type="http://schemas.openxmlformats.org/officeDocument/2006/relationships/hyperlink" Target="https://www.carfax.com/vehicle/2T3N1RFV3RW451961" TargetMode="External"/><Relationship Id="rId19" Type="http://schemas.openxmlformats.org/officeDocument/2006/relationships/hyperlink" Target="https://www.carfax.com/vehicle/7FARS6H8XRE020161" TargetMode="External"/><Relationship Id="rId20" Type="http://schemas.openxmlformats.org/officeDocument/2006/relationships/hyperlink" Target="https://www.carfax.com/vehicle/5J6RS4H76PL000890" TargetMode="External"/><Relationship Id="rId21" Type="http://schemas.openxmlformats.org/officeDocument/2006/relationships/hyperlink" Target="https://www.carfax.com/vehicle/3CZRZ2H32RM708066" TargetMode="External"/><Relationship Id="rId22" Type="http://schemas.openxmlformats.org/officeDocument/2006/relationships/hyperlink" Target="https://www.carfax.com/vehicle/2T3P1RFV7SC539038" TargetMode="External"/><Relationship Id="rId23" Type="http://schemas.openxmlformats.org/officeDocument/2006/relationships/hyperlink" Target="https://www.carfax.com/vehicle/7FARS6H92RE014122" TargetMode="External"/><Relationship Id="rId24" Type="http://schemas.openxmlformats.org/officeDocument/2006/relationships/hyperlink" Target="https://www.carfax.com/vehicle/3CZRZ2H77RM723987" TargetMode="External"/><Relationship Id="rId25" Type="http://schemas.openxmlformats.org/officeDocument/2006/relationships/hyperlink" Target="https://www.carfax.com/vehicle/7FARS6H84RE043984" TargetMode="External"/><Relationship Id="rId26" Type="http://schemas.openxmlformats.org/officeDocument/2006/relationships/hyperlink" Target="https://www.carfax.com/vehicle/2T3P1RFV3NC285087" TargetMode="External"/><Relationship Id="rId27" Type="http://schemas.openxmlformats.org/officeDocument/2006/relationships/hyperlink" Target="https://www.carfax.com/vehicle/7FARS6H8XRE056819" TargetMode="External"/><Relationship Id="rId28" Type="http://schemas.openxmlformats.org/officeDocument/2006/relationships/hyperlink" Target="https://www.carfax.com/vehicle/4T3RWRFV4SU211732" TargetMode="External"/><Relationship Id="rId29" Type="http://schemas.openxmlformats.org/officeDocument/2006/relationships/hyperlink" Target="https://www.carfax.com/vehicle/JTMRWRFV5SD591595" TargetMode="External"/><Relationship Id="rId30" Type="http://schemas.openxmlformats.org/officeDocument/2006/relationships/hyperlink" Target="https://www.carfax.com/vehicle/5J6RS4H20RL003226" TargetMode="External"/><Relationship Id="rId31" Type="http://schemas.openxmlformats.org/officeDocument/2006/relationships/hyperlink" Target="https://www.carfax.com/vehicle/4S4BTALC4S3182780" TargetMode="External"/><Relationship Id="rId32" Type="http://schemas.openxmlformats.org/officeDocument/2006/relationships/hyperlink" Target="https://www.carfax.com/vehicle/5J6RS4H77RL015465" TargetMode="External"/><Relationship Id="rId33" Type="http://schemas.openxmlformats.org/officeDocument/2006/relationships/hyperlink" Target="https://www.carfax.com/vehicle/4S4BTGLD8S3187895" TargetMode="External"/><Relationship Id="rId34" Type="http://schemas.openxmlformats.org/officeDocument/2006/relationships/hyperlink" Target="https://www.carfax.com/vehicle/2T3P1RFV5SW532586" TargetMode="External"/><Relationship Id="rId35" Type="http://schemas.openxmlformats.org/officeDocument/2006/relationships/hyperlink" Target="https://www.carfax.com/vehicle/3CZRZ2H54SM764677" TargetMode="External"/><Relationship Id="rId36" Type="http://schemas.openxmlformats.org/officeDocument/2006/relationships/hyperlink" Target="https://www.carfax.com/vehicle/2T3P1RFV5SW513973" TargetMode="External"/><Relationship Id="rId37" Type="http://schemas.openxmlformats.org/officeDocument/2006/relationships/hyperlink" Target="https://www.carfax.com/vehicle/7FARS6H88SE008967" TargetMode="External"/><Relationship Id="rId38" Type="http://schemas.openxmlformats.org/officeDocument/2006/relationships/hyperlink" Target="https://www.carfax.com/vehicle/2T3P1RFV5SW533172" TargetMode="External"/><Relationship Id="rId39" Type="http://schemas.openxmlformats.org/officeDocument/2006/relationships/hyperlink" Target="https://www.carfax.com/vehicle/2T3P1RFV2NW279456" TargetMode="External"/><Relationship Id="rId40" Type="http://schemas.openxmlformats.org/officeDocument/2006/relationships/hyperlink" Target="https://www.carfax.com/vehicle/7FARS6H57RE009544" TargetMode="External"/><Relationship Id="rId41" Type="http://schemas.openxmlformats.org/officeDocument/2006/relationships/hyperlink" Target="https://www.carfax.com/vehicle/4S4BTALC3S3187209" TargetMode="External"/><Relationship Id="rId42" Type="http://schemas.openxmlformats.org/officeDocument/2006/relationships/hyperlink" Target="https://www.carfax.com/vehicle/2T3A1RFV1SW502278" TargetMode="External"/><Relationship Id="rId43" Type="http://schemas.openxmlformats.org/officeDocument/2006/relationships/hyperlink" Target="https://www.carfax.com/vehicle/JF2BUPBD6TY477397" TargetMode="External"/><Relationship Id="rId44" Type="http://schemas.openxmlformats.org/officeDocument/2006/relationships/hyperlink" Target="https://www.carfax.com/vehicle/7FARS6H56RE044785" TargetMode="External"/><Relationship Id="rId45" Type="http://schemas.openxmlformats.org/officeDocument/2006/relationships/hyperlink" Target="https://www.carfax.com/vehicle/2T3LWRFV9SW261077" TargetMode="External"/><Relationship Id="rId46" Type="http://schemas.openxmlformats.org/officeDocument/2006/relationships/hyperlink" Target="https://www.carfax.com/vehicle/7FARS6H89SE024319" TargetMode="External"/><Relationship Id="rId47" Type="http://schemas.openxmlformats.org/officeDocument/2006/relationships/hyperlink" Target="https://www.carfax.com/vehicle/JTMRWRFV1SJ072125" TargetMode="External"/><Relationship Id="rId48" Type="http://schemas.openxmlformats.org/officeDocument/2006/relationships/hyperlink" Target="https://www.carfax.com/vehicle/7FARS5H51RE030142" TargetMode="External"/><Relationship Id="rId49" Type="http://schemas.openxmlformats.org/officeDocument/2006/relationships/hyperlink" Target="https://www.carfax.com/vehicle/4S4BTGND3R3143827" TargetMode="External"/><Relationship Id="rId50" Type="http://schemas.openxmlformats.org/officeDocument/2006/relationships/hyperlink" Target="https://www.carfax.com/vehicle/4S4BTGND7R3248466" TargetMode="External"/><Relationship Id="rId51" Type="http://schemas.openxmlformats.org/officeDocument/2006/relationships/hyperlink" Target="https://www.carfax.com/vehicle/5J6RW2H87NA000701" TargetMode="External"/><Relationship Id="rId52" Type="http://schemas.openxmlformats.org/officeDocument/2006/relationships/hyperlink" Target="https://www.carfax.com/vehicle/7FARS6H96PE001614" TargetMode="External"/><Relationship Id="rId53" Type="http://schemas.openxmlformats.org/officeDocument/2006/relationships/hyperlink" Target="https://www.carfax.com/vehicle/7FARS6H86SE022138" TargetMode="External"/><Relationship Id="rId54" Type="http://schemas.openxmlformats.org/officeDocument/2006/relationships/hyperlink" Target="https://www.carfax.com/vehicle/3CZRZ2H51SM757265" TargetMode="External"/><Relationship Id="rId55" Type="http://schemas.openxmlformats.org/officeDocument/2006/relationships/hyperlink" Target="https://www.carfax.com/vehicle/5J6RS4H71RL002887" TargetMode="External"/><Relationship Id="rId56" Type="http://schemas.openxmlformats.org/officeDocument/2006/relationships/hyperlink" Target="https://www.carfax.com/vehicle/7FARS4H70SE014290" TargetMode="External"/><Relationship Id="rId57" Type="http://schemas.openxmlformats.org/officeDocument/2006/relationships/hyperlink" Target="https://www.carfax.com/vehicle/7FARS4H49SE019591" TargetMode="External"/><Relationship Id="rId58" Type="http://schemas.openxmlformats.org/officeDocument/2006/relationships/hyperlink" Target="https://www.carfax.com/vehicle/2T3P1RFV7SC536558" TargetMode="External"/><Relationship Id="rId59" Type="http://schemas.openxmlformats.org/officeDocument/2006/relationships/hyperlink" Target="https://www.carfax.com/vehicle/2HKRS4H26SH450028" TargetMode="External"/><Relationship Id="rId60" Type="http://schemas.openxmlformats.org/officeDocument/2006/relationships/hyperlink" Target="https://www.carfax.com/vehicle/7FARS4H46PE011892" TargetMode="External"/><Relationship Id="rId61" Type="http://schemas.openxmlformats.org/officeDocument/2006/relationships/hyperlink" Target="https://www.carfax.com/vehicle/2T3F1RFV7PC371775" TargetMode="External"/><Relationship Id="rId62" Type="http://schemas.openxmlformats.org/officeDocument/2006/relationships/hyperlink" Target="https://www.carfax.com/vehicle/JTME6RFV2RD564850" TargetMode="External"/><Relationship Id="rId63" Type="http://schemas.openxmlformats.org/officeDocument/2006/relationships/hyperlink" Target="https://www.carfax.com/vehicle/2HKRS4H74PH418360" TargetMode="External"/><Relationship Id="rId64" Type="http://schemas.openxmlformats.org/officeDocument/2006/relationships/hyperlink" Target="https://www.carfax.com/vehicle/4T3MWRFV2RU158968" TargetMode="External"/><Relationship Id="rId65" Type="http://schemas.openxmlformats.org/officeDocument/2006/relationships/hyperlink" Target="https://www.carfax.com/vehicle/2HKRS4H49SH430180" TargetMode="External"/><Relationship Id="rId66" Type="http://schemas.openxmlformats.org/officeDocument/2006/relationships/hyperlink" Target="https://www.carfax.com/vehicle/2T3RWRFV7RW217549" TargetMode="External"/><Relationship Id="rId67" Type="http://schemas.openxmlformats.org/officeDocument/2006/relationships/hyperlink" Target="https://www.carfax.com/vehicle/JTMLWRFV1SD337243" TargetMode="External"/><Relationship Id="rId68" Type="http://schemas.openxmlformats.org/officeDocument/2006/relationships/hyperlink" Target="https://www.carfax.com/vehicle/7FARS4H79RE001869" TargetMode="External"/><Relationship Id="rId69" Type="http://schemas.openxmlformats.org/officeDocument/2006/relationships/hyperlink" Target="https://www.carfax.com/vehicle/2HKRS4H76PH436567" TargetMode="External"/><Relationship Id="rId70" Type="http://schemas.openxmlformats.org/officeDocument/2006/relationships/hyperlink" Target="https://www.carfax.com/vehicle/2HKRS4H72RH461761" TargetMode="External"/><Relationship Id="rId71" Type="http://schemas.openxmlformats.org/officeDocument/2006/relationships/hyperlink" Target="https://www.carfax.com/vehicle/5J6RS4H45TL000833" TargetMode="External"/><Relationship Id="rId72" Type="http://schemas.openxmlformats.org/officeDocument/2006/relationships/hyperlink" Target="https://www.carfax.com/vehicle/2HKRS4H43RH412414" TargetMode="External"/><Relationship Id="rId73" Type="http://schemas.openxmlformats.org/officeDocument/2006/relationships/hyperlink" Target="https://www.carfax.com/vehicle/JTERU5JR4N6047375" TargetMode="External"/><Relationship Id="rId74" Type="http://schemas.openxmlformats.org/officeDocument/2006/relationships/hyperlink" Target="https://www.carfax.com/vehicle/2HKRS4H44SH448795" TargetMode="External"/><Relationship Id="rId75" Type="http://schemas.openxmlformats.org/officeDocument/2006/relationships/hyperlink" Target="https://www.carfax.com/vehicle/2T3F1RFV3RC436690" TargetMode="External"/><Relationship Id="rId76" Type="http://schemas.openxmlformats.org/officeDocument/2006/relationships/hyperlink" Target="https://www.carfax.com/vehicle/3CZRZ2H36RM771834" TargetMode="External"/><Relationship Id="rId77" Type="http://schemas.openxmlformats.org/officeDocument/2006/relationships/hyperlink" Target="https://www.carfax.com/vehicle/7FARS6H63TE025272" TargetMode="External"/><Relationship Id="rId78" Type="http://schemas.openxmlformats.org/officeDocument/2006/relationships/hyperlink" Target="https://www.carfax.com/vehicle/2T3W1RFV3SW388998" TargetMode="External"/><Relationship Id="rId79" Type="http://schemas.openxmlformats.org/officeDocument/2006/relationships/hyperlink" Target="https://www.carfax.com/vehicle/5J6RT6H88NL023795" TargetMode="External"/><Relationship Id="rId80" Type="http://schemas.openxmlformats.org/officeDocument/2006/relationships/hyperlink" Target="https://www.carfax.com/vehicle/2T3F1RFV5RW434888" TargetMode="External"/><Relationship Id="rId81" Type="http://schemas.openxmlformats.org/officeDocument/2006/relationships/hyperlink" Target="https://www.carfax.com/vehicle/7FARS6H59PE019523" TargetMode="External"/><Relationship Id="rId82" Type="http://schemas.openxmlformats.org/officeDocument/2006/relationships/hyperlink" Target="https://www.carfax.com/vehicle/2T3A1RFV1PC393250" TargetMode="External"/><Relationship Id="rId83" Type="http://schemas.openxmlformats.org/officeDocument/2006/relationships/hyperlink" Target="https://www.carfax.com/vehicle/4S4BTAFC6R3136342" TargetMode="External"/><Relationship Id="rId84" Type="http://schemas.openxmlformats.org/officeDocument/2006/relationships/hyperlink" Target="https://www.carfax.com/vehicle/2T3C1RFV7NW232034" TargetMode="External"/><Relationship Id="rId85" Type="http://schemas.openxmlformats.org/officeDocument/2006/relationships/hyperlink" Target="https://www.carfax.com/vehicle/2T3A1RFV6SW516287" TargetMode="External"/><Relationship Id="rId86" Type="http://schemas.openxmlformats.org/officeDocument/2006/relationships/hyperlink" Target="https://www.carfax.com/vehicle/4S4BTANC1R3162512" TargetMode="External"/><Relationship Id="rId87" Type="http://schemas.openxmlformats.org/officeDocument/2006/relationships/hyperlink" Target="https://www.carfax.com/vehicle/JTME6RFV5ND534624" TargetMode="External"/><Relationship Id="rId88" Type="http://schemas.openxmlformats.org/officeDocument/2006/relationships/hyperlink" Target="https://www.carfax.com/vehicle/7FARS6H86SE066625" TargetMode="External"/><Relationship Id="rId89" Type="http://schemas.openxmlformats.org/officeDocument/2006/relationships/hyperlink" Target="https://www.carfax.com/vehicle/4S4BTALC5R3189893" TargetMode="External"/><Relationship Id="rId90" Type="http://schemas.openxmlformats.org/officeDocument/2006/relationships/hyperlink" Target="https://www.carfax.com/vehicle/7FARS5H86SE018536" TargetMode="External"/><Relationship Id="rId91" Type="http://schemas.openxmlformats.org/officeDocument/2006/relationships/hyperlink" Target="https://www.carfax.com/vehicle/5J6RS4H72RL015146" TargetMode="External"/><Relationship Id="rId92" Type="http://schemas.openxmlformats.org/officeDocument/2006/relationships/hyperlink" Target="https://www.carfax.com/vehicle/JTEPU5JRXN6009270" TargetMode="External"/><Relationship Id="rId93" Type="http://schemas.openxmlformats.org/officeDocument/2006/relationships/hyperlink" Target="https://www.carfax.com/vehicle/4T3RWRFV6NU068920" TargetMode="External"/><Relationship Id="rId94" Type="http://schemas.openxmlformats.org/officeDocument/2006/relationships/hyperlink" Target="https://www.carfax.com/vehicle/7FARS4H72SE010189" TargetMode="External"/><Relationship Id="rId95" Type="http://schemas.openxmlformats.org/officeDocument/2006/relationships/hyperlink" Target="https://www.carfax.com/vehicle/4S4BTGLD2R3113687" TargetMode="External"/><Relationship Id="rId96" Type="http://schemas.openxmlformats.org/officeDocument/2006/relationships/hyperlink" Target="https://www.carfax.com/vehicle/5J6RS6H84RL038433" TargetMode="External"/><Relationship Id="rId97" Type="http://schemas.openxmlformats.org/officeDocument/2006/relationships/hyperlink" Target="https://www.carfax.com/vehicle/7FARS6H80SE002130" TargetMode="External"/><Relationship Id="rId98" Type="http://schemas.openxmlformats.org/officeDocument/2006/relationships/hyperlink" Target="https://www.carfax.com/vehicle/2T3K1RFV8NC174979" TargetMode="External"/><Relationship Id="rId99" Type="http://schemas.openxmlformats.org/officeDocument/2006/relationships/hyperlink" Target="https://www.carfax.com/vehicle/2T3H1RFVXSW381376" TargetMode="External"/><Relationship Id="rId100" Type="http://schemas.openxmlformats.org/officeDocument/2006/relationships/hyperlink" Target="https://www.carfax.com/vehicle/JTMMWRFV0SD328988" TargetMode="External"/><Relationship Id="rId101" Type="http://schemas.openxmlformats.org/officeDocument/2006/relationships/hyperlink" Target="https://www.carfax.com/vehicle/7FARS4H73PE019944" TargetMode="External"/><Relationship Id="rId102" Type="http://schemas.openxmlformats.org/officeDocument/2006/relationships/hyperlink" Target="https://www.carfax.com/vehicle/4S4BTADCXS3249302" TargetMode="External"/><Relationship Id="rId103" Type="http://schemas.openxmlformats.org/officeDocument/2006/relationships/hyperlink" Target="https://www.carfax.com/vehicle/5J6RS4H74RL009722" TargetMode="External"/><Relationship Id="rId104" Type="http://schemas.openxmlformats.org/officeDocument/2006/relationships/hyperlink" Target="https://www.carfax.com/vehicle/7FARS6H92PE010066" TargetMode="External"/><Relationship Id="rId105" Type="http://schemas.openxmlformats.org/officeDocument/2006/relationships/hyperlink" Target="https://www.carfax.com/vehicle/7FARS6H86RE048359" TargetMode="External"/><Relationship Id="rId106" Type="http://schemas.openxmlformats.org/officeDocument/2006/relationships/hyperlink" Target="https://www.carfax.com/vehicle/4S4BTAFC2R3129923" TargetMode="External"/><Relationship Id="rId107" Type="http://schemas.openxmlformats.org/officeDocument/2006/relationships/hyperlink" Target="https://www.carfax.com/vehicle/JTMRWRFV7SJ076468" TargetMode="External"/><Relationship Id="rId108" Type="http://schemas.openxmlformats.org/officeDocument/2006/relationships/hyperlink" Target="https://www.carfax.com/vehicle/5J6RS4H76PL001618" TargetMode="External"/><Relationship Id="rId109" Type="http://schemas.openxmlformats.org/officeDocument/2006/relationships/hyperlink" Target="https://www.carfax.com/vehicle/2T3P1RFV0RC427031" TargetMode="External"/><Relationship Id="rId110" Type="http://schemas.openxmlformats.org/officeDocument/2006/relationships/hyperlink" Target="https://www.carfax.com/vehicle/5J6RW2H82NA007278" TargetMode="External"/><Relationship Id="rId111" Type="http://schemas.openxmlformats.org/officeDocument/2006/relationships/hyperlink" Target="https://www.carfax.com/vehicle/2T3P1RFV8SW553500" TargetMode="External"/><Relationship Id="rId112" Type="http://schemas.openxmlformats.org/officeDocument/2006/relationships/hyperlink" Target="https://www.carfax.com/vehicle/2T3F1RFVXSC526280" TargetMode="External"/><Relationship Id="rId113" Type="http://schemas.openxmlformats.org/officeDocument/2006/relationships/hyperlink" Target="https://www.carfax.com/vehicle/JTEEU5JRXP5295993" TargetMode="External"/><Relationship Id="rId114" Type="http://schemas.openxmlformats.org/officeDocument/2006/relationships/hyperlink" Target="https://www.carfax.com/vehicle/2T3K1RFV9NC174215" TargetMode="External"/><Relationship Id="rId115" Type="http://schemas.openxmlformats.org/officeDocument/2006/relationships/hyperlink" Target="https://www.carfax.com/vehicle/2T3B6RFVXRW054302" TargetMode="External"/><Relationship Id="rId116" Type="http://schemas.openxmlformats.org/officeDocument/2006/relationships/hyperlink" Target="https://www.carfax.com/vehicle/4T3RWRFV5RU117806" TargetMode="External"/><Relationship Id="rId117" Type="http://schemas.openxmlformats.org/officeDocument/2006/relationships/hyperlink" Target="https://www.carfax.com/vehicle/2HKRS4H42PH413504" TargetMode="External"/><Relationship Id="rId118" Type="http://schemas.openxmlformats.org/officeDocument/2006/relationships/hyperlink" Target="https://www.carfax.com/vehicle/2T3K1RFV0NC175351" TargetMode="External"/><Relationship Id="rId119" Type="http://schemas.openxmlformats.org/officeDocument/2006/relationships/hyperlink" Target="https://www.carfax.com/vehicle/5J6RS6H91PL008618" TargetMode="External"/><Relationship Id="rId120" Type="http://schemas.openxmlformats.org/officeDocument/2006/relationships/hyperlink" Target="https://www.carfax.com/vehicle/2HKRS4H25RH455277" TargetMode="External"/><Relationship Id="rId121" Type="http://schemas.openxmlformats.org/officeDocument/2006/relationships/hyperlink" Target="https://www.carfax.com/vehicle/2T3P1RFV0RC440765" TargetMode="External"/><Relationship Id="rId122" Type="http://schemas.openxmlformats.org/officeDocument/2006/relationships/hyperlink" Target="https://www.carfax.com/vehicle/2HKRS4H70SH455057" TargetMode="External"/><Relationship Id="rId123" Type="http://schemas.openxmlformats.org/officeDocument/2006/relationships/hyperlink" Target="https://www.carfax.com/vehicle/4S4BTANC3S3138573" TargetMode="External"/><Relationship Id="rId124" Type="http://schemas.openxmlformats.org/officeDocument/2006/relationships/hyperlink" Target="https://www.carfax.com/vehicle/7FARS5H58RE021406" TargetMode="External"/><Relationship Id="rId125" Type="http://schemas.openxmlformats.org/officeDocument/2006/relationships/hyperlink" Target="https://www.carfax.com/vehicle/2T3G1RFV4NC301989" TargetMode="External"/><Relationship Id="rId126" Type="http://schemas.openxmlformats.org/officeDocument/2006/relationships/hyperlink" Target="https://www.carfax.com/vehicle/7FARW2H57NE016534" TargetMode="External"/><Relationship Id="rId127" Type="http://schemas.openxmlformats.org/officeDocument/2006/relationships/hyperlink" Target="https://www.carfax.com/vehicle/2T3G1RFV9RC454356" TargetMode="External"/><Relationship Id="rId128" Type="http://schemas.openxmlformats.org/officeDocument/2006/relationships/hyperlink" Target="https://www.carfax.com/vehicle/2T3P1RFV3RC444728" TargetMode="External"/><Relationship Id="rId129" Type="http://schemas.openxmlformats.org/officeDocument/2006/relationships/hyperlink" Target="https://www.carfax.com/vehicle/2T3P1RFV4SC528112" TargetMode="External"/><Relationship Id="rId130" Type="http://schemas.openxmlformats.org/officeDocument/2006/relationships/hyperlink" Target="https://www.carfax.com/vehicle/4T3E6RFV6NU101817" TargetMode="External"/><Relationship Id="rId131" Type="http://schemas.openxmlformats.org/officeDocument/2006/relationships/hyperlink" Target="https://www.carfax.com/vehicle/2T3P1RFV2PW376224" TargetMode="External"/><Relationship Id="rId132" Type="http://schemas.openxmlformats.org/officeDocument/2006/relationships/hyperlink" Target="https://www.carfax.com/vehicle/JTEEU5JR8P5281834" TargetMode="External"/><Relationship Id="rId133" Type="http://schemas.openxmlformats.org/officeDocument/2006/relationships/hyperlink" Target="https://www.carfax.com/vehicle/2T3W1RFV5SC334913" TargetMode="External"/><Relationship Id="rId134" Type="http://schemas.openxmlformats.org/officeDocument/2006/relationships/hyperlink" Target="https://www.carfax.com/vehicle/2HKRS4H46SH404281" TargetMode="External"/><Relationship Id="rId135" Type="http://schemas.openxmlformats.org/officeDocument/2006/relationships/hyperlink" Target="https://www.carfax.com/vehicle/4T3RWRFV1NU074060" TargetMode="External"/><Relationship Id="rId136" Type="http://schemas.openxmlformats.org/officeDocument/2006/relationships/hyperlink" Target="https://www.carfax.com/vehicle/2T3RWRFV6RW219356" TargetMode="External"/><Relationship Id="rId137" Type="http://schemas.openxmlformats.org/officeDocument/2006/relationships/hyperlink" Target="https://www.carfax.com/vehicle/4S4BTANC5P3112547" TargetMode="External"/><Relationship Id="rId138" Type="http://schemas.openxmlformats.org/officeDocument/2006/relationships/hyperlink" Target="https://www.carfax.com/vehicle/2T3P1RFV2RW465682" TargetMode="External"/><Relationship Id="rId139" Type="http://schemas.openxmlformats.org/officeDocument/2006/relationships/hyperlink" Target="https://www.carfax.com/vehicle/2T3K1RFV7NC201394" TargetMode="External"/><Relationship Id="rId140" Type="http://schemas.openxmlformats.org/officeDocument/2006/relationships/hyperlink" Target="https://www.carfax.com/vehicle/4S4BTADC9P3197765" TargetMode="External"/><Relationship Id="rId141" Type="http://schemas.openxmlformats.org/officeDocument/2006/relationships/hyperlink" Target="https://www.carfax.com/vehicle/2T3P1RFV4SW554708" TargetMode="External"/><Relationship Id="rId142" Type="http://schemas.openxmlformats.org/officeDocument/2006/relationships/hyperlink" Target="https://www.carfax.com/vehicle/2T3P1RFV2RW463723" TargetMode="External"/><Relationship Id="rId143" Type="http://schemas.openxmlformats.org/officeDocument/2006/relationships/hyperlink" Target="https://www.carfax.com/vehicle/4T3RWRFV4SU167649" TargetMode="External"/><Relationship Id="rId144" Type="http://schemas.openxmlformats.org/officeDocument/2006/relationships/hyperlink" Target="https://www.carfax.com/vehicle/4T3D6RFV8NU075216" TargetMode="External"/><Relationship Id="rId145" Type="http://schemas.openxmlformats.org/officeDocument/2006/relationships/hyperlink" Target="https://www.carfax.com/vehicle/JTM16RFV4ND070370" TargetMode="External"/><Relationship Id="rId146" Type="http://schemas.openxmlformats.org/officeDocument/2006/relationships/hyperlink" Target="https://www.carfax.com/vehicle/4S4BTGND8S3144395" TargetMode="External"/><Relationship Id="rId147" Type="http://schemas.openxmlformats.org/officeDocument/2006/relationships/hyperlink" Target="https://www.carfax.com/vehicle/JTMEB3FVXRD172885" TargetMode="External"/><Relationship Id="rId148" Type="http://schemas.openxmlformats.org/officeDocument/2006/relationships/hyperlink" Target="https://www.carfax.com/vehicle/2T3G1RFV9NC300434" TargetMode="External"/><Relationship Id="rId149" Type="http://schemas.openxmlformats.org/officeDocument/2006/relationships/hyperlink" Target="https://www.carfax.com/vehicle/4T3MWRFV0RU113172" TargetMode="External"/><Relationship Id="rId150" Type="http://schemas.openxmlformats.org/officeDocument/2006/relationships/hyperlink" Target="https://www.carfax.com/vehicle/2T3P1RFV0SW566161" TargetMode="External"/><Relationship Id="rId151" Type="http://schemas.openxmlformats.org/officeDocument/2006/relationships/hyperlink" Target="https://www.carfax.com/vehicle/3CZRZ1H52PM718685" TargetMode="External"/><Relationship Id="rId152" Type="http://schemas.openxmlformats.org/officeDocument/2006/relationships/hyperlink" Target="https://www.carfax.com/vehicle/5J6RS6H55RL004541" TargetMode="External"/><Relationship Id="rId153" Type="http://schemas.openxmlformats.org/officeDocument/2006/relationships/hyperlink" Target="https://www.carfax.com/vehicle/7FARS4H4XPE004881" TargetMode="External"/><Relationship Id="rId154" Type="http://schemas.openxmlformats.org/officeDocument/2006/relationships/hyperlink" Target="https://www.carfax.com/vehicle/4S4BTAFC1R3240916" TargetMode="External"/><Relationship Id="rId155" Type="http://schemas.openxmlformats.org/officeDocument/2006/relationships/hyperlink" Target="https://www.carfax.com/vehicle/3CZRZ2H54SM759687" TargetMode="External"/><Relationship Id="rId156" Type="http://schemas.openxmlformats.org/officeDocument/2006/relationships/hyperlink" Target="https://www.carfax.com/vehicle/2T3P1RFV7SW553696" TargetMode="External"/><Relationship Id="rId157" Type="http://schemas.openxmlformats.org/officeDocument/2006/relationships/hyperlink" Target="https://www.carfax.com/vehicle/4T3RWRFV9SU177965" TargetMode="External"/><Relationship Id="rId158" Type="http://schemas.openxmlformats.org/officeDocument/2006/relationships/hyperlink" Target="https://www.carfax.com/vehicle/4S4BTANC1R3286439" TargetMode="External"/><Relationship Id="rId159" Type="http://schemas.openxmlformats.org/officeDocument/2006/relationships/hyperlink" Target="https://www.carfax.com/vehicle/2HKRS4H20RH418914" TargetMode="External"/><Relationship Id="rId160" Type="http://schemas.openxmlformats.org/officeDocument/2006/relationships/hyperlink" Target="https://www.carfax.com/vehicle/4S4BTANC1R3232655" TargetMode="External"/><Relationship Id="rId161" Type="http://schemas.openxmlformats.org/officeDocument/2006/relationships/hyperlink" Target="https://www.carfax.com/vehicle/4T3RWRFV0SU181385" TargetMode="External"/><Relationship Id="rId162" Type="http://schemas.openxmlformats.org/officeDocument/2006/relationships/hyperlink" Target="https://www.carfax.com/vehicle/4T3RWRFV9SU180574" TargetMode="External"/><Relationship Id="rId163" Type="http://schemas.openxmlformats.org/officeDocument/2006/relationships/hyperlink" Target="https://www.carfax.com/vehicle/2T3H1RFV0SC310026" TargetMode="External"/><Relationship Id="rId164" Type="http://schemas.openxmlformats.org/officeDocument/2006/relationships/hyperlink" Target="https://www.carfax.com/vehicle/4S4BTACC6S3275770" TargetMode="External"/><Relationship Id="rId165" Type="http://schemas.openxmlformats.org/officeDocument/2006/relationships/hyperlink" Target="https://www.carfax.com/vehicle/3CZRZ2H54RM712492" TargetMode="External"/><Relationship Id="rId166" Type="http://schemas.openxmlformats.org/officeDocument/2006/relationships/hyperlink" Target="https://www.carfax.com/vehicle/4S4BTANC0P3184238" TargetMode="External"/><Relationship Id="rId167" Type="http://schemas.openxmlformats.org/officeDocument/2006/relationships/hyperlink" Target="https://www.carfax.com/vehicle/2T3F1RFV5SW539243" TargetMode="External"/><Relationship Id="rId168" Type="http://schemas.openxmlformats.org/officeDocument/2006/relationships/hyperlink" Target="https://www.carfax.com/vehicle/2T3P1RFV5SW551283" TargetMode="External"/><Relationship Id="rId169" Type="http://schemas.openxmlformats.org/officeDocument/2006/relationships/hyperlink" Target="https://www.carfax.com/vehicle/2T3F1RFV6SW529773" TargetMode="External"/><Relationship Id="rId170" Type="http://schemas.openxmlformats.org/officeDocument/2006/relationships/hyperlink" Target="https://www.carfax.com/vehicle/2HKRS4H23RH425145" TargetMode="External"/><Relationship Id="rId171" Type="http://schemas.openxmlformats.org/officeDocument/2006/relationships/hyperlink" Target="https://www.carfax.com/vehicle/2T3W1RFV5RW343037" TargetMode="External"/><Relationship Id="rId172" Type="http://schemas.openxmlformats.org/officeDocument/2006/relationships/hyperlink" Target="https://www.carfax.com/vehicle/5J6RS6H92SL000794" TargetMode="External"/><Relationship Id="rId173" Type="http://schemas.openxmlformats.org/officeDocument/2006/relationships/hyperlink" Target="https://www.carfax.com/vehicle/2T3F1RFV0SC519760" TargetMode="External"/><Relationship Id="rId174" Type="http://schemas.openxmlformats.org/officeDocument/2006/relationships/hyperlink" Target="https://www.carfax.com/vehicle/7FARS4H79PE001500" TargetMode="External"/><Relationship Id="rId175" Type="http://schemas.openxmlformats.org/officeDocument/2006/relationships/hyperlink" Target="https://www.carfax.com/vehicle/4S4BTGUD5R3134368" TargetMode="External"/><Relationship Id="rId176" Type="http://schemas.openxmlformats.org/officeDocument/2006/relationships/hyperlink" Target="https://www.carfax.com/vehicle/2HKRW2H84NH654165" TargetMode="External"/><Relationship Id="rId177" Type="http://schemas.openxmlformats.org/officeDocument/2006/relationships/hyperlink" Target="https://www.carfax.com/vehicle/4S4BTAMC0N3257087" TargetMode="External"/><Relationship Id="rId178" Type="http://schemas.openxmlformats.org/officeDocument/2006/relationships/hyperlink" Target="https://www.carfax.com/vehicle/2T3F1RFV3SC518487" TargetMode="External"/><Relationship Id="rId179" Type="http://schemas.openxmlformats.org/officeDocument/2006/relationships/hyperlink" Target="https://www.carfax.com/vehicle/2T3W1RFV3SC318967" TargetMode="External"/><Relationship Id="rId180" Type="http://schemas.openxmlformats.org/officeDocument/2006/relationships/hyperlink" Target="https://www.carfax.com/vehicle/2T3H1RFV0NW206624" TargetMode="External"/><Relationship Id="rId181" Type="http://schemas.openxmlformats.org/officeDocument/2006/relationships/hyperlink" Target="https://www.carfax.com/vehicle/4T3RWRFV0SU172279" TargetMode="External"/><Relationship Id="rId182" Type="http://schemas.openxmlformats.org/officeDocument/2006/relationships/hyperlink" Target="https://www.carfax.com/vehicle/4S4BTANC0R3287968" TargetMode="External"/><Relationship Id="rId183" Type="http://schemas.openxmlformats.org/officeDocument/2006/relationships/hyperlink" Target="https://www.carfax.com/vehicle/2T3P1RFV3RC439514" TargetMode="External"/><Relationship Id="rId184" Type="http://schemas.openxmlformats.org/officeDocument/2006/relationships/hyperlink" Target="https://www.carfax.com/vehicle/2T3F1RFV9SC497046" TargetMode="External"/><Relationship Id="rId185" Type="http://schemas.openxmlformats.org/officeDocument/2006/relationships/hyperlink" Target="https://www.carfax.com/vehicle/JTMEB3FV4PD113845" TargetMode="External"/><Relationship Id="rId186" Type="http://schemas.openxmlformats.org/officeDocument/2006/relationships/hyperlink" Target="https://www.carfax.com/vehicle/2T3K1RFV3NC201716" TargetMode="External"/><Relationship Id="rId187" Type="http://schemas.openxmlformats.org/officeDocument/2006/relationships/hyperlink" Target="https://www.carfax.com/vehicle/4S4BTAAC5N3225739" TargetMode="External"/><Relationship Id="rId188" Type="http://schemas.openxmlformats.org/officeDocument/2006/relationships/hyperlink" Target="https://www.carfax.com/vehicle/2T3G1RFV4NC301720" TargetMode="External"/><Relationship Id="rId189" Type="http://schemas.openxmlformats.org/officeDocument/2006/relationships/hyperlink" Target="https://www.carfax.com/vehicle/2T3H1RFV5SW381429" TargetMode="External"/><Relationship Id="rId190" Type="http://schemas.openxmlformats.org/officeDocument/2006/relationships/hyperlink" Target="https://www.carfax.com/vehicle/4S4BTAFC2R3163764" TargetMode="External"/><Relationship Id="rId191" Type="http://schemas.openxmlformats.org/officeDocument/2006/relationships/hyperlink" Target="https://www.carfax.com/vehicle/3CZRZ2H5XRM727188" TargetMode="External"/><Relationship Id="rId192" Type="http://schemas.openxmlformats.org/officeDocument/2006/relationships/hyperlink" Target="https://www.carfax.com/vehicle/4T3RWRFV0SU176333" TargetMode="External"/><Relationship Id="rId193" Type="http://schemas.openxmlformats.org/officeDocument/2006/relationships/hyperlink" Target="https://www.carfax.com/vehicle/4S4BTALC8S3175797" TargetMode="External"/><Relationship Id="rId194" Type="http://schemas.openxmlformats.org/officeDocument/2006/relationships/hyperlink" Target="https://www.carfax.com/vehicle/4S4BTACCXR3210995" TargetMode="External"/><Relationship Id="rId195" Type="http://schemas.openxmlformats.org/officeDocument/2006/relationships/hyperlink" Target="https://www.carfax.com/vehicle/4S4BTADC7P3214000" TargetMode="External"/><Relationship Id="rId196" Type="http://schemas.openxmlformats.org/officeDocument/2006/relationships/hyperlink" Target="https://www.carfax.com/vehicle/2T3H1RFV0SC318238" TargetMode="External"/><Relationship Id="rId197" Type="http://schemas.openxmlformats.org/officeDocument/2006/relationships/hyperlink" Target="https://www.carfax.com/vehicle/4S4BTAFC0P3170676" TargetMode="External"/><Relationship Id="rId198" Type="http://schemas.openxmlformats.org/officeDocument/2006/relationships/hyperlink" Target="https://www.carfax.com/vehicle/2T3H1RFV1SW367429" TargetMode="External"/><Relationship Id="rId199" Type="http://schemas.openxmlformats.org/officeDocument/2006/relationships/hyperlink" Target="https://www.carfax.com/vehicle/2T3P1RFV9NC285370" TargetMode="External"/><Relationship Id="rId200" Type="http://schemas.openxmlformats.org/officeDocument/2006/relationships/hyperlink" Target="https://www.carfax.com/vehicle/5J6RS5H86RL003323" TargetMode="External"/><Relationship Id="rId201" Type="http://schemas.openxmlformats.org/officeDocument/2006/relationships/hyperlink" Target="https://www.carfax.com/vehicle/2T3A1RFV2PW353287" TargetMode="External"/><Relationship Id="rId202" Type="http://schemas.openxmlformats.org/officeDocument/2006/relationships/hyperlink" Target="https://www.carfax.com/vehicle/2T3J1RFV6NW286173" TargetMode="External"/><Relationship Id="rId203" Type="http://schemas.openxmlformats.org/officeDocument/2006/relationships/hyperlink" Target="https://www.carfax.com/vehicle/2T3P1RFV0SW548615" TargetMode="External"/><Relationship Id="rId204" Type="http://schemas.openxmlformats.org/officeDocument/2006/relationships/hyperlink" Target="https://www.carfax.com/vehicle/4S4BTAMC6P3146773" TargetMode="External"/><Relationship Id="rId205" Type="http://schemas.openxmlformats.org/officeDocument/2006/relationships/hyperlink" Target="https://www.carfax.com/vehicle/2T3F1RFV6SC493651" TargetMode="External"/><Relationship Id="rId206" Type="http://schemas.openxmlformats.org/officeDocument/2006/relationships/hyperlink" Target="https://www.carfax.com/vehicle/3CZRZ1H32RM714587" TargetMode="External"/><Relationship Id="rId207" Type="http://schemas.openxmlformats.org/officeDocument/2006/relationships/hyperlink" Target="https://www.carfax.com/vehicle/4T3RWRFV2NU078716" TargetMode="External"/><Relationship Id="rId208" Type="http://schemas.openxmlformats.org/officeDocument/2006/relationships/hyperlink" Target="https://www.carfax.com/vehicle/3CZRZ1H56RM702508" TargetMode="External"/><Relationship Id="rId209" Type="http://schemas.openxmlformats.org/officeDocument/2006/relationships/hyperlink" Target="https://www.carfax.com/vehicle/2T3P1RFV5SW548707" TargetMode="External"/><Relationship Id="rId210" Type="http://schemas.openxmlformats.org/officeDocument/2006/relationships/hyperlink" Target="https://www.carfax.com/vehicle/2T3P1RFV9RC439047" TargetMode="External"/><Relationship Id="rId211" Type="http://schemas.openxmlformats.org/officeDocument/2006/relationships/hyperlink" Target="https://www.carfax.com/vehicle/4S4BTAFC4R3200104" TargetMode="External"/><Relationship Id="rId212" Type="http://schemas.openxmlformats.org/officeDocument/2006/relationships/hyperlink" Target="https://www.carfax.com/vehicle/3CZRZ2H55PM750049" TargetMode="External"/><Relationship Id="rId213" Type="http://schemas.openxmlformats.org/officeDocument/2006/relationships/hyperlink" Target="https://www.carfax.com/vehicle/2T3P1RFV0RC427983" TargetMode="External"/><Relationship Id="rId214" Type="http://schemas.openxmlformats.org/officeDocument/2006/relationships/hyperlink" Target="https://www.carfax.com/vehicle/2T3RWRFV2SW266776" TargetMode="External"/><Relationship Id="rId215" Type="http://schemas.openxmlformats.org/officeDocument/2006/relationships/hyperlink" Target="https://www.carfax.com/vehicle/4S4BTALCXS3178619" TargetMode="External"/><Relationship Id="rId216" Type="http://schemas.openxmlformats.org/officeDocument/2006/relationships/hyperlink" Target="https://www.carfax.com/vehicle/2T3G1RFVXNC300409" TargetMode="External"/><Relationship Id="rId217" Type="http://schemas.openxmlformats.org/officeDocument/2006/relationships/hyperlink" Target="https://www.carfax.com/vehicle/2T3F1RFV5SC505692" TargetMode="External"/><Relationship Id="rId218" Type="http://schemas.openxmlformats.org/officeDocument/2006/relationships/hyperlink" Target="https://www.carfax.com/vehicle/4S4BTADC5P3210110" TargetMode="External"/><Relationship Id="rId219" Type="http://schemas.openxmlformats.org/officeDocument/2006/relationships/hyperlink" Target="https://www.carfax.com/vehicle/4T3LWRFV2SU180678" TargetMode="External"/><Relationship Id="rId220" Type="http://schemas.openxmlformats.org/officeDocument/2006/relationships/hyperlink" Target="https://www.carfax.com/vehicle/4S4BTADC8R3223002" TargetMode="External"/><Relationship Id="rId221" Type="http://schemas.openxmlformats.org/officeDocument/2006/relationships/hyperlink" Target="https://www.carfax.com/vehicle/4T3RWRFV0SU176994" TargetMode="External"/><Relationship Id="rId222" Type="http://schemas.openxmlformats.org/officeDocument/2006/relationships/hyperlink" Target="https://www.carfax.com/vehicle/4T3RWRFVXSU165632" TargetMode="External"/><Relationship Id="rId223" Type="http://schemas.openxmlformats.org/officeDocument/2006/relationships/hyperlink" Target="https://www.carfax.com/vehicle/3CZRZ2H38SM764826" TargetMode="External"/><Relationship Id="rId224" Type="http://schemas.openxmlformats.org/officeDocument/2006/relationships/hyperlink" Target="https://www.carfax.com/vehicle/2T3E6RFV4RW067107" TargetMode="External"/><Relationship Id="rId225" Type="http://schemas.openxmlformats.org/officeDocument/2006/relationships/hyperlink" Target="https://www.carfax.com/vehicle/4T3RWRFV6SU181388" TargetMode="External"/><Relationship Id="rId226" Type="http://schemas.openxmlformats.org/officeDocument/2006/relationships/hyperlink" Target="https://www.carfax.com/vehicle/4T3RWRFV5SU182497" TargetMode="External"/><Relationship Id="rId227" Type="http://schemas.openxmlformats.org/officeDocument/2006/relationships/hyperlink" Target="https://www.carfax.com/vehicle/4T3RWRFV9NU054395" TargetMode="External"/><Relationship Id="rId228" Type="http://schemas.openxmlformats.org/officeDocument/2006/relationships/hyperlink" Target="https://www.carfax.com/vehicle/2T3RWRFV2PW175658" TargetMode="External"/><Relationship Id="rId229" Type="http://schemas.openxmlformats.org/officeDocument/2006/relationships/hyperlink" Target="https://www.carfax.com/vehicle/3CZRZ2H33RM709517" TargetMode="External"/><Relationship Id="rId230" Type="http://schemas.openxmlformats.org/officeDocument/2006/relationships/hyperlink" Target="https://www.carfax.com/vehicle/4T3RWRFV9SU176136" TargetMode="External"/><Relationship Id="rId231" Type="http://schemas.openxmlformats.org/officeDocument/2006/relationships/hyperlink" Target="https://www.carfax.com/vehicle/4T3RWRFV1NU075001" TargetMode="External"/><Relationship Id="rId232" Type="http://schemas.openxmlformats.org/officeDocument/2006/relationships/hyperlink" Target="https://www.carfax.com/vehicle/4T3RWRFV6SU177003" TargetMode="External"/><Relationship Id="rId233" Type="http://schemas.openxmlformats.org/officeDocument/2006/relationships/hyperlink" Target="https://www.carfax.com/vehicle/3CZRZ1H3XSM724905" TargetMode="External"/><Relationship Id="rId234" Type="http://schemas.openxmlformats.org/officeDocument/2006/relationships/hyperlink" Target="https://www.carfax.com/vehicle/4T3B6RFV9PU116379" TargetMode="External"/><Relationship Id="rId235" Type="http://schemas.openxmlformats.org/officeDocument/2006/relationships/hyperlink" Target="https://www.carfax.com/vehicle/4S4BTADC5P3175469" TargetMode="External"/><Relationship Id="rId236" Type="http://schemas.openxmlformats.org/officeDocument/2006/relationships/hyperlink" Target="https://www.carfax.com/vehicle/4S4BTADC8R3246456" TargetMode="External"/><Relationship Id="rId237" Type="http://schemas.openxmlformats.org/officeDocument/2006/relationships/hyperlink" Target="https://www.carfax.com/vehicle/4T3MWRFV8PU090270" TargetMode="External"/><Relationship Id="rId238" Type="http://schemas.openxmlformats.org/officeDocument/2006/relationships/hyperlink" Target="https://www.carfax.com/vehicle/4T3RWRFV9SU180218" TargetMode="External"/><Relationship Id="rId239" Type="http://schemas.openxmlformats.org/officeDocument/2006/relationships/hyperlink" Target="https://www.carfax.com/vehicle/4S4BTGPD1R3163197" TargetMode="External"/><Relationship Id="rId240" Type="http://schemas.openxmlformats.org/officeDocument/2006/relationships/hyperlink" Target="https://www.carfax.com/vehicle/4T3RWRFV2SU180240" TargetMode="External"/><Relationship Id="rId241" Type="http://schemas.openxmlformats.org/officeDocument/2006/relationships/hyperlink" Target="https://www.carfax.com/vehicle/4S4BTADC0P3214646" TargetMode="External"/><Relationship Id="rId242" Type="http://schemas.openxmlformats.org/officeDocument/2006/relationships/hyperlink" Target="https://www.carfax.com/vehicle/4S4BTADC3R3246140" TargetMode="External"/><Relationship Id="rId243" Type="http://schemas.openxmlformats.org/officeDocument/2006/relationships/hyperlink" Target="https://www.carfax.com/vehicle/4S4BTACC2R3234675" TargetMode="External"/><Relationship Id="rId244" Type="http://schemas.openxmlformats.org/officeDocument/2006/relationships/hyperlink" Target="https://www.carfax.com/vehicle/2T3E6RFV4RW048041" TargetMode="External"/><Relationship Id="rId245" Type="http://schemas.openxmlformats.org/officeDocument/2006/relationships/hyperlink" Target="https://www.carfax.com/vehicle/4S4BTADC8R3158331" TargetMode="External"/><Relationship Id="rId246" Type="http://schemas.openxmlformats.org/officeDocument/2006/relationships/hyperlink" Target="https://www.carfax.com/vehicle/7FARS6H50RE025049" TargetMode="External"/><Relationship Id="rId247" Type="http://schemas.openxmlformats.org/officeDocument/2006/relationships/hyperlink" Target="https://www.carfax.com/vehicle/4T3E6RFV1PU129401" TargetMode="External"/><Relationship Id="rId248" Type="http://schemas.openxmlformats.org/officeDocument/2006/relationships/hyperlink" Target="https://www.carfax.com/vehicle/2HKRS4H45PH437263" TargetMode="External"/><Relationship Id="rId249" Type="http://schemas.openxmlformats.org/officeDocument/2006/relationships/hyperlink" Target="https://www.carfax.com/vehicle/4S4BTADC8P3220100" TargetMode="External"/><Relationship Id="rId250" Type="http://schemas.openxmlformats.org/officeDocument/2006/relationships/hyperlink" Target="https://www.carfax.com/vehicle/4T3RWRFV5SU171919" TargetMode="External"/><Relationship Id="rId251" Type="http://schemas.openxmlformats.org/officeDocument/2006/relationships/hyperlink" Target="https://www.carfax.com/vehicle/4T3MWRFV3PU090290" TargetMode="External"/><Relationship Id="rId252" Type="http://schemas.openxmlformats.org/officeDocument/2006/relationships/hyperlink" Target="https://www.carfax.com/vehicle/4T3T6RFV1PU117773" TargetMode="External"/><Relationship Id="rId253" Type="http://schemas.openxmlformats.org/officeDocument/2006/relationships/hyperlink" Target="https://www.carfax.com/vehicle/4T3MWRFV4PU091447" TargetMode="External"/><Relationship Id="rId254" Type="http://schemas.openxmlformats.org/officeDocument/2006/relationships/hyperlink" Target="https://www.carfax.com/vehicle/4S4BTAJC2P3104976" TargetMode="External"/><Relationship Id="rId255" Type="http://schemas.openxmlformats.org/officeDocument/2006/relationships/hyperlink" Target="https://www.carfax.com/vehicle/4T3RWRFV6SU180709" TargetMode="External"/><Relationship Id="rId256" Type="http://schemas.openxmlformats.org/officeDocument/2006/relationships/hyperlink" Target="https://www.carfax.com/vehicle/3CZRZ2H50RM712165" TargetMode="External"/><Relationship Id="rId257" Type="http://schemas.openxmlformats.org/officeDocument/2006/relationships/hyperlink" Target="https://www.carfax.com/vehicle/4S4BTACC3R3236855" TargetMode="External"/><Relationship Id="rId258" Type="http://schemas.openxmlformats.org/officeDocument/2006/relationships/hyperlink" Target="https://www.carfax.com/vehicle/2T3G1RFV2NC302638" TargetMode="External"/><Relationship Id="rId259" Type="http://schemas.openxmlformats.org/officeDocument/2006/relationships/hyperlink" Target="https://www.carfax.com/vehicle/2T3RWRFV7RW192510" TargetMode="External"/><Relationship Id="rId260" Type="http://schemas.openxmlformats.org/officeDocument/2006/relationships/hyperlink" Target="https://www.carfax.com/vehicle/4S4BTACC8R3244272" TargetMode="External"/><Relationship Id="rId261" Type="http://schemas.openxmlformats.org/officeDocument/2006/relationships/hyperlink" Target="https://www.carfax.com/vehicle/4S4BTACC7N3248145" TargetMode="External"/><Relationship Id="rId262" Type="http://schemas.openxmlformats.org/officeDocument/2006/relationships/hyperlink" Target="https://www.carfax.com/vehicle/4S4BTACCXP3130223" TargetMode="External"/><Relationship Id="rId263"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84"/>
    <col collapsed="false" customWidth="true" hidden="false" outlineLevel="0" max="4" min="4" style="0" width="14"/>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c r="C4" s="4" t="s">
        <v>3</v>
      </c>
    </row>
    <row r="5" customFormat="false" ht="15" hidden="false" customHeight="false" outlineLevel="0" collapsed="false">
      <c r="B5" s="3" t="s">
        <v>4</v>
      </c>
      <c r="C5" s="4" t="s">
        <v>5</v>
      </c>
    </row>
    <row r="7" customFormat="false" ht="15" hidden="false" customHeight="false" outlineLevel="0" collapsed="false">
      <c r="B7" s="5" t="s">
        <v>6</v>
      </c>
      <c r="C7" s="6"/>
    </row>
    <row r="8" customFormat="false" ht="15" hidden="false" customHeight="false" outlineLevel="0" collapsed="false">
      <c r="B8" s="7" t="s">
        <v>7</v>
      </c>
      <c r="C8" s="7" t="s">
        <v>8</v>
      </c>
    </row>
    <row r="9" customFormat="false" ht="15" hidden="false" customHeight="false" outlineLevel="0" collapsed="false">
      <c r="B9" s="8" t="s">
        <v>9</v>
      </c>
      <c r="C9" s="9" t="n">
        <v>262</v>
      </c>
    </row>
    <row r="10" customFormat="false" ht="15" hidden="false" customHeight="false" outlineLevel="0" collapsed="false">
      <c r="B10" s="8" t="s">
        <v>10</v>
      </c>
      <c r="C10" s="9" t="n">
        <v>234</v>
      </c>
    </row>
    <row r="11" customFormat="false" ht="15" hidden="false" customHeight="false" outlineLevel="0" collapsed="false">
      <c r="B11" s="8" t="s">
        <v>11</v>
      </c>
      <c r="C11" s="9" t="n">
        <v>173</v>
      </c>
    </row>
    <row r="12" customFormat="false" ht="15" hidden="false" customHeight="false" outlineLevel="0" collapsed="false">
      <c r="B12" s="8" t="s">
        <v>12</v>
      </c>
      <c r="C12" s="9" t="n">
        <v>168</v>
      </c>
    </row>
    <row r="13" customFormat="false" ht="15" hidden="false" customHeight="false" outlineLevel="0" collapsed="false">
      <c r="B13" s="8" t="s">
        <v>13</v>
      </c>
      <c r="C13" s="9" t="n">
        <v>144</v>
      </c>
    </row>
    <row r="14" customFormat="false" ht="15" hidden="false" customHeight="false" outlineLevel="0" collapsed="false">
      <c r="B14" s="8" t="s">
        <v>14</v>
      </c>
      <c r="C14" s="9" t="n">
        <v>53</v>
      </c>
    </row>
    <row r="15" customFormat="false" ht="15" hidden="false" customHeight="false" outlineLevel="0" collapsed="false">
      <c r="B15" s="8" t="s">
        <v>15</v>
      </c>
      <c r="C15" s="10" t="n">
        <v>36</v>
      </c>
    </row>
    <row r="16" customFormat="false" ht="15" hidden="false" customHeight="false" outlineLevel="0" collapsed="false">
      <c r="B16" s="8" t="s">
        <v>16</v>
      </c>
      <c r="C16" s="9" t="n">
        <v>36</v>
      </c>
    </row>
    <row r="17" customFormat="false" ht="15" hidden="false" customHeight="false" outlineLevel="0" collapsed="false">
      <c r="B17" s="8" t="s">
        <v>17</v>
      </c>
      <c r="C17" s="11" t="n">
        <v>6</v>
      </c>
    </row>
    <row r="18" customFormat="false" ht="22.35" hidden="false" customHeight="true" outlineLevel="0" collapsed="false">
      <c r="B18" s="12" t="s">
        <v>18</v>
      </c>
      <c r="C18" s="12"/>
    </row>
    <row r="20" customFormat="false" ht="15" hidden="false" customHeight="false" outlineLevel="0" collapsed="false">
      <c r="B20" s="5" t="s">
        <v>19</v>
      </c>
      <c r="C20" s="6"/>
    </row>
    <row r="21" customFormat="false" ht="15" hidden="false" customHeight="false" outlineLevel="0" collapsed="false">
      <c r="B21" s="13" t="s">
        <v>20</v>
      </c>
      <c r="C21" s="14" t="s">
        <v>21</v>
      </c>
    </row>
    <row r="22" customFormat="false" ht="15" hidden="false" customHeight="false" outlineLevel="0" collapsed="false">
      <c r="B22" s="13" t="s">
        <v>22</v>
      </c>
      <c r="C22" s="14" t="s">
        <v>23</v>
      </c>
    </row>
    <row r="23" customFormat="false" ht="15" hidden="false" customHeight="false" outlineLevel="0" collapsed="false">
      <c r="B23" s="13" t="s">
        <v>24</v>
      </c>
      <c r="C23" s="14" t="s">
        <v>25</v>
      </c>
    </row>
    <row r="24" customFormat="false" ht="15" hidden="false" customHeight="false" outlineLevel="0" collapsed="false">
      <c r="B24" s="13" t="s">
        <v>26</v>
      </c>
      <c r="C24" s="14" t="s">
        <v>27</v>
      </c>
    </row>
    <row r="25" customFormat="false" ht="15" hidden="false" customHeight="false" outlineLevel="0" collapsed="false">
      <c r="B25" s="13" t="s">
        <v>28</v>
      </c>
      <c r="C25" s="14" t="s">
        <v>29</v>
      </c>
    </row>
    <row r="26" customFormat="false" ht="15" hidden="false" customHeight="false" outlineLevel="0" collapsed="false">
      <c r="B26" s="13" t="s">
        <v>30</v>
      </c>
      <c r="C26" s="14" t="s">
        <v>31</v>
      </c>
    </row>
    <row r="28" customFormat="false" ht="15" hidden="false" customHeight="false" outlineLevel="0" collapsed="false">
      <c r="B28" s="5" t="s">
        <v>32</v>
      </c>
      <c r="C28" s="6"/>
    </row>
    <row r="29" customFormat="false" ht="15" hidden="false" customHeight="true" outlineLevel="0" collapsed="false">
      <c r="B29" s="12" t="s">
        <v>33</v>
      </c>
      <c r="C29" s="12"/>
    </row>
    <row r="30" customFormat="false" ht="15" hidden="false" customHeight="false" outlineLevel="0" collapsed="false">
      <c r="B30" s="7" t="s">
        <v>34</v>
      </c>
      <c r="C30" s="7" t="s">
        <v>35</v>
      </c>
      <c r="D30" s="7" t="s">
        <v>36</v>
      </c>
    </row>
    <row r="31" customFormat="false" ht="27.75" hidden="false" customHeight="true" outlineLevel="0" collapsed="false">
      <c r="B31" s="15" t="s">
        <v>37</v>
      </c>
      <c r="C31" s="14" t="s">
        <v>38</v>
      </c>
      <c r="D31" s="16" t="n">
        <f aca="false">'Scoring Weights'!B5/100</f>
        <v>0.26</v>
      </c>
    </row>
    <row r="32" customFormat="false" ht="27.75" hidden="false" customHeight="true" outlineLevel="0" collapsed="false">
      <c r="B32" s="15" t="s">
        <v>39</v>
      </c>
      <c r="C32" s="14" t="s">
        <v>40</v>
      </c>
      <c r="D32" s="16" t="n">
        <f aca="false">'Scoring Weights'!B6/100</f>
        <v>0.22</v>
      </c>
    </row>
    <row r="33" customFormat="false" ht="27.75" hidden="false" customHeight="true" outlineLevel="0" collapsed="false">
      <c r="B33" s="15" t="s">
        <v>41</v>
      </c>
      <c r="C33" s="14" t="s">
        <v>42</v>
      </c>
      <c r="D33" s="16" t="n">
        <f aca="false">'Scoring Weights'!B7/100</f>
        <v>0.18</v>
      </c>
    </row>
    <row r="34" customFormat="false" ht="27.75" hidden="false" customHeight="true" outlineLevel="0" collapsed="false">
      <c r="B34" s="15" t="s">
        <v>43</v>
      </c>
      <c r="C34" s="14" t="s">
        <v>44</v>
      </c>
      <c r="D34" s="16" t="n">
        <f aca="false">'Scoring Weights'!B8/100</f>
        <v>0.15</v>
      </c>
    </row>
    <row r="35" customFormat="false" ht="27.75" hidden="false" customHeight="true" outlineLevel="0" collapsed="false">
      <c r="B35" s="15" t="s">
        <v>45</v>
      </c>
      <c r="C35" s="14" t="s">
        <v>46</v>
      </c>
      <c r="D35" s="16" t="n">
        <f aca="false">'Scoring Weights'!B9/100</f>
        <v>0.14</v>
      </c>
    </row>
    <row r="36" customFormat="false" ht="27.75" hidden="false" customHeight="true" outlineLevel="0" collapsed="false">
      <c r="B36" s="15" t="s">
        <v>47</v>
      </c>
      <c r="C36" s="14" t="s">
        <v>48</v>
      </c>
      <c r="D36" s="16" t="n">
        <f aca="false">'Scoring Weights'!B10/100</f>
        <v>0.05</v>
      </c>
    </row>
    <row r="39" customFormat="false" ht="15" hidden="false" customHeight="false" outlineLevel="0" collapsed="false">
      <c r="B39" s="5" t="s">
        <v>49</v>
      </c>
      <c r="C39" s="6"/>
    </row>
    <row r="40" customFormat="false" ht="15" hidden="false" customHeight="false" outlineLevel="0" collapsed="false">
      <c r="B40" s="3" t="s">
        <v>50</v>
      </c>
      <c r="C40" s="17" t="n">
        <f aca="false">COUNTIF('All Cars'!$C$5:$C$266,"YES")</f>
        <v>36</v>
      </c>
    </row>
    <row r="41" customFormat="false" ht="15" hidden="false" customHeight="false" outlineLevel="0" collapsed="false">
      <c r="B41" s="3" t="s">
        <v>51</v>
      </c>
      <c r="C41" s="17" t="n">
        <f aca="false">COUNTIFS('All Cars'!$C$5:$C$266,"YES",'All Cars'!$K$5:$K$266,"Yes")</f>
        <v>6</v>
      </c>
    </row>
    <row r="42" customFormat="false" ht="15" hidden="false" customHeight="false" outlineLevel="0" collapsed="false">
      <c r="B42" s="3" t="s">
        <v>52</v>
      </c>
      <c r="C42" s="17" t="n">
        <f aca="false">COUNTA('All Cars'!$BC$5:$BC$266)</f>
        <v>262</v>
      </c>
    </row>
    <row r="43" customFormat="false" ht="15" hidden="false" customHeight="true" outlineLevel="0" collapsed="false">
      <c r="B43" s="12" t="s">
        <v>53</v>
      </c>
      <c r="C43" s="12"/>
    </row>
    <row r="45" customFormat="false" ht="15" hidden="false" customHeight="false" outlineLevel="0" collapsed="false">
      <c r="B45" s="5" t="s">
        <v>54</v>
      </c>
      <c r="C45" s="6"/>
    </row>
    <row r="46" customFormat="false" ht="33.75" hidden="false" customHeight="true" outlineLevel="0" collapsed="false">
      <c r="B46" s="18" t="s">
        <v>55</v>
      </c>
      <c r="C46" s="14" t="s">
        <v>56</v>
      </c>
    </row>
    <row r="47" customFormat="false" ht="33.75" hidden="false" customHeight="true" outlineLevel="0" collapsed="false">
      <c r="B47" s="18" t="s">
        <v>57</v>
      </c>
      <c r="C47" s="14" t="s">
        <v>58</v>
      </c>
    </row>
    <row r="48" customFormat="false" ht="33.75" hidden="false" customHeight="true" outlineLevel="0" collapsed="false">
      <c r="B48" s="18" t="s">
        <v>59</v>
      </c>
      <c r="C48" s="14" t="s">
        <v>60</v>
      </c>
    </row>
    <row r="49" customFormat="false" ht="33.75" hidden="false" customHeight="true" outlineLevel="0" collapsed="false">
      <c r="B49" s="18" t="s">
        <v>61</v>
      </c>
      <c r="C49" s="14" t="s">
        <v>62</v>
      </c>
    </row>
    <row r="50" customFormat="false" ht="33.75" hidden="false" customHeight="true" outlineLevel="0" collapsed="false">
      <c r="B50" s="18" t="s">
        <v>63</v>
      </c>
      <c r="C50" s="14" t="s">
        <v>64</v>
      </c>
    </row>
    <row r="51" customFormat="false" ht="33.75" hidden="false" customHeight="true" outlineLevel="0" collapsed="false">
      <c r="B51" s="18" t="s">
        <v>65</v>
      </c>
      <c r="C51" s="14" t="s">
        <v>66</v>
      </c>
    </row>
  </sheetData>
  <mergeCells count="3">
    <mergeCell ref="B18:C18"/>
    <mergeCell ref="B29:C29"/>
    <mergeCell ref="B43:C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62"/>
  </cols>
  <sheetData>
    <row r="1" customFormat="false" ht="19.7" hidden="false" customHeight="false" outlineLevel="0" collapsed="false">
      <c r="A1" s="1" t="s">
        <v>26</v>
      </c>
    </row>
    <row r="2" customFormat="false" ht="15" hidden="false" customHeight="false" outlineLevel="0" collapsed="false">
      <c r="A2" s="19" t="s">
        <v>67</v>
      </c>
    </row>
    <row r="4" customFormat="false" ht="30" hidden="false" customHeight="true" outlineLevel="0" collapsed="false">
      <c r="A4" s="20" t="s">
        <v>68</v>
      </c>
      <c r="B4" s="20" t="s">
        <v>69</v>
      </c>
      <c r="C4" s="20" t="s">
        <v>70</v>
      </c>
    </row>
    <row r="5" customFormat="false" ht="15" hidden="false" customHeight="false" outlineLevel="0" collapsed="false">
      <c r="A5" s="15" t="s">
        <v>71</v>
      </c>
      <c r="B5" s="21" t="n">
        <v>40000</v>
      </c>
      <c r="C5" s="22" t="s">
        <v>72</v>
      </c>
    </row>
    <row r="6" customFormat="false" ht="15" hidden="false" customHeight="false" outlineLevel="0" collapsed="false">
      <c r="A6" s="15" t="s">
        <v>73</v>
      </c>
      <c r="B6" s="23" t="n">
        <v>2022</v>
      </c>
      <c r="C6" s="22" t="s">
        <v>74</v>
      </c>
    </row>
    <row r="7" customFormat="false" ht="15" hidden="false" customHeight="false" outlineLevel="0" collapsed="false">
      <c r="A7" s="15" t="s">
        <v>75</v>
      </c>
      <c r="B7" s="23" t="n">
        <v>75</v>
      </c>
      <c r="C7" s="22" t="s">
        <v>76</v>
      </c>
    </row>
    <row r="8" customFormat="false" ht="15" hidden="false" customHeight="false" outlineLevel="0" collapsed="false">
      <c r="A8" s="15" t="s">
        <v>77</v>
      </c>
      <c r="B8" s="24" t="b">
        <f aca="false">TRUE()</f>
        <v>1</v>
      </c>
      <c r="C8" s="22" t="s">
        <v>78</v>
      </c>
    </row>
    <row r="9" customFormat="false" ht="15" hidden="false" customHeight="false" outlineLevel="0" collapsed="false">
      <c r="A9" s="15" t="s">
        <v>79</v>
      </c>
      <c r="B9" s="24" t="b">
        <f aca="false">TRUE()</f>
        <v>1</v>
      </c>
      <c r="C9" s="22" t="s">
        <v>80</v>
      </c>
    </row>
    <row r="10" customFormat="false" ht="15" hidden="false" customHeight="false" outlineLevel="0" collapsed="false">
      <c r="A10" s="15" t="s">
        <v>81</v>
      </c>
      <c r="B10" s="24" t="b">
        <f aca="false">TRUE()</f>
        <v>1</v>
      </c>
      <c r="C10" s="22" t="s">
        <v>82</v>
      </c>
    </row>
    <row r="11" customFormat="false" ht="15" hidden="false" customHeight="false" outlineLevel="0" collapsed="false">
      <c r="A11" s="15" t="s">
        <v>83</v>
      </c>
      <c r="B11" s="24" t="b">
        <f aca="false">TRUE()</f>
        <v>1</v>
      </c>
      <c r="C11" s="22" t="s">
        <v>84</v>
      </c>
    </row>
    <row r="12" customFormat="false" ht="15" hidden="false" customHeight="false" outlineLevel="0" collapsed="false">
      <c r="A12" s="15" t="s">
        <v>85</v>
      </c>
      <c r="B12" s="24" t="b">
        <f aca="false">TRUE()</f>
        <v>1</v>
      </c>
      <c r="C12" s="22" t="s">
        <v>86</v>
      </c>
    </row>
    <row r="13" customFormat="false" ht="15" hidden="false" customHeight="false" outlineLevel="0" collapsed="false">
      <c r="A13" s="15" t="s">
        <v>87</v>
      </c>
      <c r="B13" s="24" t="b">
        <f aca="false">FALSE()</f>
        <v>0</v>
      </c>
      <c r="C13" s="22" t="s">
        <v>88</v>
      </c>
    </row>
    <row r="16" customFormat="false" ht="15" hidden="false" customHeight="false" outlineLevel="0" collapsed="false">
      <c r="A16" s="25" t="s">
        <v>89</v>
      </c>
    </row>
    <row r="17" customFormat="false" ht="30" hidden="false" customHeight="true" outlineLevel="0" collapsed="false">
      <c r="A17" s="20" t="s">
        <v>90</v>
      </c>
      <c r="B17" s="20" t="s">
        <v>91</v>
      </c>
      <c r="C17" s="20" t="s">
        <v>70</v>
      </c>
    </row>
    <row r="18" customFormat="false" ht="15" hidden="false" customHeight="false" outlineLevel="0" collapsed="false">
      <c r="A18" s="15" t="s">
        <v>92</v>
      </c>
      <c r="B18" s="26" t="n">
        <v>100000</v>
      </c>
      <c r="C18" s="22" t="s">
        <v>93</v>
      </c>
    </row>
    <row r="19" customFormat="false" ht="15" hidden="false" customHeight="false" outlineLevel="0" collapsed="false">
      <c r="A19" s="15" t="s">
        <v>94</v>
      </c>
      <c r="B19" s="26" t="n">
        <v>70000</v>
      </c>
      <c r="C19" s="22" t="s">
        <v>93</v>
      </c>
    </row>
    <row r="20" customFormat="false" ht="15" hidden="false" customHeight="false" outlineLevel="0" collapsed="false">
      <c r="A20" s="15" t="s">
        <v>95</v>
      </c>
      <c r="B20" s="26" t="n">
        <v>50000</v>
      </c>
      <c r="C20" s="22" t="s">
        <v>93</v>
      </c>
    </row>
    <row r="23" customFormat="false" ht="15" hidden="false" customHeight="false" outlineLevel="0" collapsed="false">
      <c r="A23" s="27" t="s">
        <v>96</v>
      </c>
    </row>
    <row r="24" customFormat="false" ht="15" hidden="false" customHeight="false" outlineLevel="0" collapsed="false">
      <c r="A24" s="27"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90"/>
  </cols>
  <sheetData>
    <row r="1" customFormat="false" ht="19.7" hidden="false" customHeight="false" outlineLevel="0" collapsed="false">
      <c r="A1" s="1" t="s">
        <v>28</v>
      </c>
    </row>
    <row r="2" customFormat="false" ht="15" hidden="false" customHeight="false" outlineLevel="0" collapsed="false">
      <c r="A2" s="19" t="s">
        <v>98</v>
      </c>
    </row>
    <row r="4" customFormat="false" ht="30" hidden="false" customHeight="true" outlineLevel="0" collapsed="false">
      <c r="A4" s="20" t="s">
        <v>34</v>
      </c>
      <c r="B4" s="20" t="s">
        <v>36</v>
      </c>
      <c r="C4" s="20" t="s">
        <v>35</v>
      </c>
    </row>
    <row r="5" customFormat="false" ht="42" hidden="false" customHeight="true" outlineLevel="0" collapsed="false">
      <c r="A5" s="15" t="s">
        <v>37</v>
      </c>
      <c r="B5" s="28" t="n">
        <v>26</v>
      </c>
      <c r="C5" s="29" t="s">
        <v>99</v>
      </c>
    </row>
    <row r="6" customFormat="false" ht="42" hidden="false" customHeight="true" outlineLevel="0" collapsed="false">
      <c r="A6" s="15" t="s">
        <v>39</v>
      </c>
      <c r="B6" s="28" t="n">
        <v>22</v>
      </c>
      <c r="C6" s="29" t="s">
        <v>100</v>
      </c>
    </row>
    <row r="7" customFormat="false" ht="42" hidden="false" customHeight="true" outlineLevel="0" collapsed="false">
      <c r="A7" s="15" t="s">
        <v>41</v>
      </c>
      <c r="B7" s="28" t="n">
        <v>18</v>
      </c>
      <c r="C7" s="29" t="s">
        <v>101</v>
      </c>
    </row>
    <row r="8" customFormat="false" ht="42" hidden="false" customHeight="true" outlineLevel="0" collapsed="false">
      <c r="A8" s="15" t="s">
        <v>43</v>
      </c>
      <c r="B8" s="28" t="n">
        <v>15</v>
      </c>
      <c r="C8" s="29" t="s">
        <v>102</v>
      </c>
    </row>
    <row r="9" customFormat="false" ht="42" hidden="false" customHeight="true" outlineLevel="0" collapsed="false">
      <c r="A9" s="15" t="s">
        <v>45</v>
      </c>
      <c r="B9" s="28" t="n">
        <v>14</v>
      </c>
      <c r="C9" s="29" t="s">
        <v>103</v>
      </c>
    </row>
    <row r="10" customFormat="false" ht="42" hidden="false" customHeight="true" outlineLevel="0" collapsed="false">
      <c r="A10" s="15" t="s">
        <v>47</v>
      </c>
      <c r="B10" s="28" t="n">
        <v>5</v>
      </c>
      <c r="C10" s="29" t="s">
        <v>104</v>
      </c>
    </row>
    <row r="11" customFormat="false" ht="15" hidden="false" customHeight="false" outlineLevel="0" collapsed="false">
      <c r="A11" s="30" t="s">
        <v>105</v>
      </c>
      <c r="B11" s="31" t="n">
        <f aca="false">SUM(B5:B10)</f>
        <v>100</v>
      </c>
      <c r="C11" s="32" t="str">
        <f aca="false">IF(B11=100,"OK - weights add to 100","ADJUST - weights must add to 100, currently "&amp;B11)</f>
        <v>OK - weights add to 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11"/>
    <col collapsed="false" customWidth="true" hidden="false" outlineLevel="0" max="4" min="4" style="0" width="7"/>
    <col collapsed="false" customWidth="true" hidden="false" outlineLevel="0" max="5" min="5" style="0" width="9"/>
    <col collapsed="false" customWidth="true" hidden="false" outlineLevel="0" max="6" min="6" style="0" width="11"/>
    <col collapsed="false" customWidth="true" hidden="false" outlineLevel="0" max="7" min="7" style="0" width="17"/>
    <col collapsed="false" customWidth="true" hidden="false" outlineLevel="0" max="8" min="8" style="0" width="11"/>
    <col collapsed="false" customWidth="true" hidden="false" outlineLevel="0" max="9" min="9" style="0" width="10"/>
    <col collapsed="false" customWidth="true" hidden="false" outlineLevel="0" max="10" min="10" style="0" width="9"/>
    <col collapsed="false" customWidth="true" hidden="false" outlineLevel="0" max="11" min="11" style="0" width="7"/>
    <col collapsed="false" customWidth="true" hidden="false" outlineLevel="0" max="12" min="12" style="0" width="12"/>
    <col collapsed="false" customWidth="true" hidden="false" outlineLevel="0" max="13" min="13" style="0" width="10"/>
    <col collapsed="false" customWidth="true" hidden="false" outlineLevel="0" max="14" min="14" style="0" width="11"/>
    <col collapsed="false" customWidth="true" hidden="false" outlineLevel="0" max="15" min="15" style="0" width="8"/>
    <col collapsed="false" customWidth="true" hidden="false" outlineLevel="0" max="17" min="16" style="0" width="12"/>
    <col collapsed="false" customWidth="true" hidden="false" outlineLevel="0" max="18" min="18" style="0" width="10"/>
    <col collapsed="false" customWidth="true" hidden="false" outlineLevel="0" max="19" min="19" style="0" width="12"/>
    <col collapsed="false" customWidth="true" hidden="false" outlineLevel="0" max="21" min="20" style="0" width="10"/>
    <col collapsed="false" customWidth="true" hidden="false" outlineLevel="0" max="22" min="22" style="0" width="7"/>
    <col collapsed="false" customWidth="true" hidden="false" outlineLevel="0" max="23" min="23" style="0" width="28"/>
    <col collapsed="false" customWidth="true" hidden="false" outlineLevel="0" max="24" min="24" style="0" width="14"/>
    <col collapsed="false" customWidth="true" hidden="false" outlineLevel="0" max="25" min="25" style="0" width="11"/>
    <col collapsed="false" customWidth="true" hidden="false" outlineLevel="0" max="26" min="26" style="0" width="12"/>
    <col collapsed="false" customWidth="true" hidden="false" outlineLevel="0" max="27" min="27" style="0" width="30"/>
    <col collapsed="false" customWidth="true" hidden="false" outlineLevel="0" max="28" min="28" style="0" width="46"/>
  </cols>
  <sheetData>
    <row r="1" customFormat="false" ht="19.7" hidden="false" customHeight="false" outlineLevel="0" collapsed="false">
      <c r="A1" s="1" t="s">
        <v>106</v>
      </c>
    </row>
    <row r="2" customFormat="false" ht="15" hidden="false" customHeight="false" outlineLevel="0" collapsed="false">
      <c r="A2" s="19" t="s">
        <v>107</v>
      </c>
    </row>
    <row r="4" customFormat="false" ht="30" hidden="false" customHeight="true" outlineLevel="0" collapsed="false">
      <c r="A4" s="20" t="s">
        <v>108</v>
      </c>
      <c r="B4" s="20" t="s">
        <v>109</v>
      </c>
      <c r="C4" s="20" t="s">
        <v>110</v>
      </c>
      <c r="D4" s="20" t="s">
        <v>111</v>
      </c>
      <c r="E4" s="20" t="s">
        <v>90</v>
      </c>
      <c r="F4" s="20" t="s">
        <v>112</v>
      </c>
      <c r="G4" s="20" t="s">
        <v>113</v>
      </c>
      <c r="H4" s="20" t="s">
        <v>114</v>
      </c>
      <c r="I4" s="20" t="s">
        <v>41</v>
      </c>
      <c r="J4" s="20" t="s">
        <v>115</v>
      </c>
      <c r="K4" s="20" t="s">
        <v>116</v>
      </c>
      <c r="L4" s="20" t="s">
        <v>117</v>
      </c>
      <c r="M4" s="20" t="s">
        <v>118</v>
      </c>
      <c r="N4" s="20" t="s">
        <v>119</v>
      </c>
      <c r="O4" s="20" t="s">
        <v>120</v>
      </c>
      <c r="P4" s="20" t="s">
        <v>121</v>
      </c>
      <c r="Q4" s="20" t="s">
        <v>122</v>
      </c>
      <c r="R4" s="20" t="s">
        <v>123</v>
      </c>
      <c r="S4" s="20" t="s">
        <v>124</v>
      </c>
      <c r="T4" s="20" t="s">
        <v>125</v>
      </c>
      <c r="U4" s="20" t="s">
        <v>126</v>
      </c>
      <c r="V4" s="20" t="s">
        <v>127</v>
      </c>
      <c r="W4" s="20" t="s">
        <v>128</v>
      </c>
      <c r="X4" s="20" t="s">
        <v>129</v>
      </c>
      <c r="Y4" s="20" t="s">
        <v>130</v>
      </c>
      <c r="Z4" s="20" t="s">
        <v>131</v>
      </c>
      <c r="AA4" s="20" t="s">
        <v>132</v>
      </c>
      <c r="AB4" s="20" t="s">
        <v>133</v>
      </c>
    </row>
    <row r="5" customFormat="false" ht="15" hidden="false" customHeight="false" outlineLevel="0" collapsed="false">
      <c r="A5" s="33" t="n">
        <f aca="false">RANK(B5,$B$5:$B$40)</f>
        <v>1</v>
      </c>
      <c r="B5" s="34" t="n">
        <f aca="false">'All Cars'!B5</f>
        <v>84</v>
      </c>
      <c r="C5" s="35" t="str">
        <f aca="false">'All Cars'!C5</f>
        <v>YES</v>
      </c>
      <c r="D5" s="33" t="n">
        <f aca="false">'All Cars'!D5</f>
        <v>2026</v>
      </c>
      <c r="E5" s="35" t="str">
        <f aca="false">'All Cars'!E5</f>
        <v>Honda</v>
      </c>
      <c r="F5" s="9" t="str">
        <f aca="false">'All Cars'!F5</f>
        <v>CR-V</v>
      </c>
      <c r="G5" s="9" t="str">
        <f aca="false">'All Cars'!G5</f>
        <v>EXL</v>
      </c>
      <c r="H5" s="36" t="n">
        <f aca="false">'All Cars'!H5</f>
        <v>35415</v>
      </c>
      <c r="I5" s="37" t="n">
        <f aca="false">'All Cars'!I5</f>
        <v>12036</v>
      </c>
      <c r="J5" s="37" t="n">
        <f aca="false">'All Cars'!J5</f>
        <v>24072</v>
      </c>
      <c r="K5" s="35" t="str">
        <f aca="false">'All Cars'!K5</f>
        <v>Yes</v>
      </c>
      <c r="L5" s="35" t="str">
        <f aca="false">'All Cars'!O5</f>
        <v>GREAT</v>
      </c>
      <c r="M5" s="38" t="n">
        <f aca="false">'All Cars'!Q5</f>
        <v>0.026</v>
      </c>
      <c r="N5" s="35" t="str">
        <f aca="false">'All Cars'!R5</f>
        <v>GREAT</v>
      </c>
      <c r="O5" s="33" t="n">
        <f aca="false">'All Cars'!U5</f>
        <v>1</v>
      </c>
      <c r="P5" s="33" t="n">
        <f aca="false">'All Cars'!W5</f>
        <v>6</v>
      </c>
      <c r="Q5" s="35" t="str">
        <f aca="false">'All Cars'!AA5</f>
        <v>Yes</v>
      </c>
      <c r="R5" s="35" t="str">
        <f aca="false">'All Cars'!AD5</f>
        <v>Yes</v>
      </c>
      <c r="S5" s="35" t="str">
        <f aca="false">'All Cars'!AC5</f>
        <v>Yes</v>
      </c>
      <c r="T5" s="35" t="str">
        <f aca="false">'All Cars'!AB5</f>
        <v>Yes</v>
      </c>
      <c r="U5" s="35" t="str">
        <f aca="false">'All Cars'!M5</f>
        <v>Gasoline</v>
      </c>
      <c r="V5" s="33" t="n">
        <f aca="false">'All Cars'!N5</f>
        <v>29</v>
      </c>
      <c r="W5" s="9" t="str">
        <f aca="false">'All Cars'!AN5</f>
        <v>Gurley Leep Honda</v>
      </c>
      <c r="X5" s="9" t="str">
        <f aca="false">'All Cars'!AO5</f>
        <v>Elkhart</v>
      </c>
      <c r="Y5" s="39" t="n">
        <f aca="false">'All Cars'!AQ5</f>
        <v>0.4</v>
      </c>
      <c r="Z5" s="36" t="n">
        <f aca="false">'All Cars'!AU5</f>
        <v>632.64</v>
      </c>
      <c r="AA5" s="40" t="s">
        <v>134</v>
      </c>
      <c r="AB5" s="41" t="s">
        <v>135</v>
      </c>
    </row>
    <row r="6" customFormat="false" ht="15" hidden="false" customHeight="false" outlineLevel="0" collapsed="false">
      <c r="A6" s="33" t="n">
        <f aca="false">RANK(B6,$B$5:$B$40)</f>
        <v>2</v>
      </c>
      <c r="B6" s="34" t="n">
        <f aca="false">'All Cars'!B6</f>
        <v>72.4</v>
      </c>
      <c r="C6" s="35" t="str">
        <f aca="false">'All Cars'!C6</f>
        <v>YES</v>
      </c>
      <c r="D6" s="33" t="n">
        <f aca="false">'All Cars'!D6</f>
        <v>2025</v>
      </c>
      <c r="E6" s="35" t="str">
        <f aca="false">'All Cars'!E6</f>
        <v>Honda</v>
      </c>
      <c r="F6" s="9" t="str">
        <f aca="false">'All Cars'!F6</f>
        <v>CR-V</v>
      </c>
      <c r="G6" s="9" t="str">
        <f aca="false">'All Cars'!G6</f>
        <v>EX</v>
      </c>
      <c r="H6" s="36" t="n">
        <f aca="false">'All Cars'!H6</f>
        <v>32809</v>
      </c>
      <c r="I6" s="37" t="n">
        <f aca="false">'All Cars'!I6</f>
        <v>15682</v>
      </c>
      <c r="J6" s="37" t="n">
        <f aca="false">'All Cars'!J6</f>
        <v>15682</v>
      </c>
      <c r="K6" s="35" t="str">
        <f aca="false">'All Cars'!K6</f>
        <v>Yes</v>
      </c>
      <c r="L6" s="35" t="str">
        <f aca="false">'All Cars'!O6</f>
        <v>GREAT</v>
      </c>
      <c r="M6" s="38" t="n">
        <f aca="false">'All Cars'!Q6</f>
        <v>0.062</v>
      </c>
      <c r="N6" s="35" t="str">
        <f aca="false">'All Cars'!R6</f>
        <v>GREAT</v>
      </c>
      <c r="O6" s="33" t="n">
        <f aca="false">'All Cars'!U6</f>
        <v>1</v>
      </c>
      <c r="P6" s="33" t="n">
        <f aca="false">'All Cars'!W6</f>
        <v>4</v>
      </c>
      <c r="Q6" s="35" t="str">
        <f aca="false">'All Cars'!AA6</f>
        <v>Yes</v>
      </c>
      <c r="R6" s="35" t="str">
        <f aca="false">'All Cars'!AD6</f>
        <v>No</v>
      </c>
      <c r="S6" s="35" t="str">
        <f aca="false">'All Cars'!AC6</f>
        <v>No</v>
      </c>
      <c r="T6" s="35" t="str">
        <f aca="false">'All Cars'!AB6</f>
        <v>Yes</v>
      </c>
      <c r="U6" s="35" t="str">
        <f aca="false">'All Cars'!M6</f>
        <v>Gasoline</v>
      </c>
      <c r="V6" s="33" t="n">
        <f aca="false">'All Cars'!N6</f>
        <v>28</v>
      </c>
      <c r="W6" s="9" t="str">
        <f aca="false">'All Cars'!AN6</f>
        <v>Crown Motors Cadillac Buick Honda Mazda</v>
      </c>
      <c r="X6" s="9" t="str">
        <f aca="false">'All Cars'!AO6</f>
        <v>Holland</v>
      </c>
      <c r="Y6" s="39" t="n">
        <f aca="false">'All Cars'!AQ6</f>
        <v>71</v>
      </c>
      <c r="Z6" s="36" t="n">
        <f aca="false">'All Cars'!AU6</f>
        <v>586.09</v>
      </c>
      <c r="AA6" s="40" t="s">
        <v>136</v>
      </c>
      <c r="AB6" s="41" t="s">
        <v>137</v>
      </c>
    </row>
    <row r="7" customFormat="false" ht="15" hidden="false" customHeight="false" outlineLevel="0" collapsed="false">
      <c r="A7" s="33" t="n">
        <f aca="false">RANK(B7,$B$5:$B$40)</f>
        <v>3</v>
      </c>
      <c r="B7" s="34" t="n">
        <f aca="false">'All Cars'!B9</f>
        <v>70</v>
      </c>
      <c r="C7" s="35" t="str">
        <f aca="false">'All Cars'!C9</f>
        <v>YES</v>
      </c>
      <c r="D7" s="33" t="n">
        <f aca="false">'All Cars'!D9</f>
        <v>2025</v>
      </c>
      <c r="E7" s="35" t="str">
        <f aca="false">'All Cars'!E9</f>
        <v>Subaru</v>
      </c>
      <c r="F7" s="9" t="str">
        <f aca="false">'All Cars'!F9</f>
        <v>Outback</v>
      </c>
      <c r="G7" s="9" t="str">
        <f aca="false">'All Cars'!G9</f>
        <v>Limited</v>
      </c>
      <c r="H7" s="36" t="n">
        <f aca="false">'All Cars'!H9</f>
        <v>32609</v>
      </c>
      <c r="I7" s="37" t="n">
        <f aca="false">'All Cars'!I9</f>
        <v>31763</v>
      </c>
      <c r="J7" s="37" t="n">
        <f aca="false">'All Cars'!J9</f>
        <v>31763</v>
      </c>
      <c r="K7" s="35" t="str">
        <f aca="false">'All Cars'!K9</f>
        <v>Yes</v>
      </c>
      <c r="L7" s="35" t="str">
        <f aca="false">'All Cars'!O9</f>
        <v>GOOD</v>
      </c>
      <c r="M7" s="38" t="n">
        <f aca="false">'All Cars'!Q9</f>
        <v>-0.051</v>
      </c>
      <c r="N7" s="35" t="str">
        <f aca="false">'All Cars'!R9</f>
        <v>GREAT</v>
      </c>
      <c r="O7" s="33" t="n">
        <f aca="false">'All Cars'!U9</f>
        <v>1</v>
      </c>
      <c r="P7" s="33" t="n">
        <f aca="false">'All Cars'!W9</f>
        <v>6</v>
      </c>
      <c r="Q7" s="35" t="str">
        <f aca="false">'All Cars'!AA9</f>
        <v>Yes</v>
      </c>
      <c r="R7" s="35" t="str">
        <f aca="false">'All Cars'!AD9</f>
        <v>Yes</v>
      </c>
      <c r="S7" s="35" t="str">
        <f aca="false">'All Cars'!AC9</f>
        <v>Yes</v>
      </c>
      <c r="T7" s="35" t="str">
        <f aca="false">'All Cars'!AB9</f>
        <v>Yes</v>
      </c>
      <c r="U7" s="35" t="str">
        <f aca="false">'All Cars'!M9</f>
        <v>Gasoline</v>
      </c>
      <c r="V7" s="33" t="n">
        <f aca="false">'All Cars'!N9</f>
        <v>28</v>
      </c>
      <c r="W7" s="9" t="str">
        <f aca="false">'All Cars'!AN9</f>
        <v>Fox Maple Hill</v>
      </c>
      <c r="X7" s="9" t="str">
        <f aca="false">'All Cars'!AO9</f>
        <v>Kalamazoo</v>
      </c>
      <c r="Y7" s="39" t="n">
        <f aca="false">'All Cars'!AQ9</f>
        <v>42.8</v>
      </c>
      <c r="Z7" s="36" t="n">
        <f aca="false">'All Cars'!AU9</f>
        <v>582.51</v>
      </c>
      <c r="AA7" s="40" t="s">
        <v>138</v>
      </c>
      <c r="AB7" s="41" t="s">
        <v>139</v>
      </c>
    </row>
    <row r="8" customFormat="false" ht="15" hidden="false" customHeight="false" outlineLevel="0" collapsed="false">
      <c r="A8" s="33" t="n">
        <f aca="false">RANK(B8,$B$5:$B$40)</f>
        <v>4</v>
      </c>
      <c r="B8" s="34" t="n">
        <f aca="false">'All Cars'!B12</f>
        <v>69</v>
      </c>
      <c r="C8" s="35" t="str">
        <f aca="false">'All Cars'!C12</f>
        <v>YES</v>
      </c>
      <c r="D8" s="33" t="n">
        <f aca="false">'All Cars'!D12</f>
        <v>2024</v>
      </c>
      <c r="E8" s="35" t="str">
        <f aca="false">'All Cars'!E12</f>
        <v>Honda</v>
      </c>
      <c r="F8" s="9" t="str">
        <f aca="false">'All Cars'!F12</f>
        <v>CR-V</v>
      </c>
      <c r="G8" s="9" t="str">
        <f aca="false">'All Cars'!G12</f>
        <v>Sport</v>
      </c>
      <c r="H8" s="36" t="n">
        <f aca="false">'All Cars'!H12</f>
        <v>33809</v>
      </c>
      <c r="I8" s="37" t="n">
        <f aca="false">'All Cars'!I12</f>
        <v>25381</v>
      </c>
      <c r="J8" s="37" t="n">
        <f aca="false">'All Cars'!J12</f>
        <v>12691</v>
      </c>
      <c r="K8" s="35" t="str">
        <f aca="false">'All Cars'!K12</f>
        <v>Yes</v>
      </c>
      <c r="L8" s="35" t="str">
        <f aca="false">'All Cars'!O12</f>
        <v>GOOD</v>
      </c>
      <c r="M8" s="38" t="n">
        <f aca="false">'All Cars'!Q12</f>
        <v>-0.02</v>
      </c>
      <c r="N8" s="35" t="str">
        <f aca="false">'All Cars'!R12</f>
        <v>GREAT</v>
      </c>
      <c r="O8" s="33" t="n">
        <f aca="false">'All Cars'!U12</f>
        <v>1</v>
      </c>
      <c r="P8" s="33" t="n">
        <f aca="false">'All Cars'!W12</f>
        <v>6</v>
      </c>
      <c r="Q8" s="35" t="str">
        <f aca="false">'All Cars'!AA12</f>
        <v>Yes</v>
      </c>
      <c r="R8" s="35" t="str">
        <f aca="false">'All Cars'!AD12</f>
        <v>Yes</v>
      </c>
      <c r="S8" s="35" t="str">
        <f aca="false">'All Cars'!AC12</f>
        <v>No</v>
      </c>
      <c r="T8" s="35" t="str">
        <f aca="false">'All Cars'!AB12</f>
        <v>Yes</v>
      </c>
      <c r="U8" s="35" t="str">
        <f aca="false">'All Cars'!M12</f>
        <v>Hybrid</v>
      </c>
      <c r="V8" s="33" t="n">
        <f aca="false">'All Cars'!N12</f>
        <v>37</v>
      </c>
      <c r="W8" s="9" t="str">
        <f aca="false">'All Cars'!AN12</f>
        <v>Crown Motors Cadillac Buick Honda Mazda</v>
      </c>
      <c r="X8" s="9" t="str">
        <f aca="false">'All Cars'!AO12</f>
        <v>Holland</v>
      </c>
      <c r="Y8" s="39" t="n">
        <f aca="false">'All Cars'!AQ12</f>
        <v>71</v>
      </c>
      <c r="Z8" s="36" t="n">
        <f aca="false">'All Cars'!AU12</f>
        <v>603.95</v>
      </c>
      <c r="AA8" s="40" t="s">
        <v>140</v>
      </c>
      <c r="AB8" s="41" t="s">
        <v>141</v>
      </c>
    </row>
    <row r="9" customFormat="false" ht="15" hidden="false" customHeight="false" outlineLevel="0" collapsed="false">
      <c r="A9" s="33" t="n">
        <f aca="false">RANK(B9,$B$5:$B$40)</f>
        <v>5</v>
      </c>
      <c r="B9" s="34" t="n">
        <f aca="false">'All Cars'!B13</f>
        <v>68.1</v>
      </c>
      <c r="C9" s="35" t="str">
        <f aca="false">'All Cars'!C13</f>
        <v>YES</v>
      </c>
      <c r="D9" s="33" t="n">
        <f aca="false">'All Cars'!D13</f>
        <v>2026</v>
      </c>
      <c r="E9" s="35" t="str">
        <f aca="false">'All Cars'!E13</f>
        <v>Honda</v>
      </c>
      <c r="F9" s="9" t="str">
        <f aca="false">'All Cars'!F13</f>
        <v>CR-V</v>
      </c>
      <c r="G9" s="9" t="str">
        <f aca="false">'All Cars'!G13</f>
        <v>TrailSport</v>
      </c>
      <c r="H9" s="36" t="n">
        <f aca="false">'All Cars'!H13</f>
        <v>35913</v>
      </c>
      <c r="I9" s="37" t="n">
        <f aca="false">'All Cars'!I13</f>
        <v>9420</v>
      </c>
      <c r="J9" s="37" t="n">
        <f aca="false">'All Cars'!J13</f>
        <v>18840</v>
      </c>
      <c r="K9" s="35" t="str">
        <f aca="false">'All Cars'!K13</f>
        <v>No</v>
      </c>
      <c r="L9" s="35" t="str">
        <f aca="false">'All Cars'!O13</f>
        <v>GREAT</v>
      </c>
      <c r="M9" s="38" t="n">
        <f aca="false">'All Cars'!Q13</f>
        <v>0.017</v>
      </c>
      <c r="N9" s="35" t="str">
        <f aca="false">'All Cars'!R13</f>
        <v>n/a</v>
      </c>
      <c r="O9" s="33" t="n">
        <f aca="false">'All Cars'!U13</f>
        <v>1</v>
      </c>
      <c r="P9" s="33" t="n">
        <f aca="false">'All Cars'!W13</f>
        <v>3</v>
      </c>
      <c r="Q9" s="35" t="str">
        <f aca="false">'All Cars'!AA13</f>
        <v>Yes</v>
      </c>
      <c r="R9" s="35" t="str">
        <f aca="false">'All Cars'!AD13</f>
        <v>Yes</v>
      </c>
      <c r="S9" s="35" t="str">
        <f aca="false">'All Cars'!AC13</f>
        <v>Yes</v>
      </c>
      <c r="T9" s="35" t="str">
        <f aca="false">'All Cars'!AB13</f>
        <v>Yes</v>
      </c>
      <c r="U9" s="35" t="str">
        <f aca="false">'All Cars'!M13</f>
        <v>Hybrid</v>
      </c>
      <c r="V9" s="33" t="n">
        <f aca="false">'All Cars'!N13</f>
        <v>35</v>
      </c>
      <c r="W9" s="9" t="str">
        <f aca="false">'All Cars'!AN13</f>
        <v>Gurley Leep Kia</v>
      </c>
      <c r="X9" s="9" t="str">
        <f aca="false">'All Cars'!AO13</f>
        <v>Mishawaka</v>
      </c>
      <c r="Y9" s="39" t="n">
        <f aca="false">'All Cars'!AQ13</f>
        <v>11</v>
      </c>
      <c r="Z9" s="36" t="n">
        <f aca="false">'All Cars'!AU13</f>
        <v>641.53</v>
      </c>
      <c r="AA9" s="40" t="s">
        <v>142</v>
      </c>
      <c r="AB9" s="41" t="s">
        <v>143</v>
      </c>
    </row>
    <row r="10" customFormat="false" ht="15" hidden="false" customHeight="false" outlineLevel="0" collapsed="false">
      <c r="A10" s="33" t="n">
        <f aca="false">RANK(B10,$B$5:$B$40)</f>
        <v>6</v>
      </c>
      <c r="B10" s="34" t="n">
        <f aca="false">'All Cars'!B17</f>
        <v>66.6</v>
      </c>
      <c r="C10" s="35" t="str">
        <f aca="false">'All Cars'!C17</f>
        <v>YES</v>
      </c>
      <c r="D10" s="33" t="n">
        <f aca="false">'All Cars'!D17</f>
        <v>2023</v>
      </c>
      <c r="E10" s="35" t="str">
        <f aca="false">'All Cars'!E17</f>
        <v>Honda</v>
      </c>
      <c r="F10" s="9" t="str">
        <f aca="false">'All Cars'!F17</f>
        <v>CR-V</v>
      </c>
      <c r="G10" s="9" t="str">
        <f aca="false">'All Cars'!G17</f>
        <v>Sport Touring</v>
      </c>
      <c r="H10" s="36" t="n">
        <f aca="false">'All Cars'!H17</f>
        <v>32864</v>
      </c>
      <c r="I10" s="37" t="n">
        <f aca="false">'All Cars'!I17</f>
        <v>34991</v>
      </c>
      <c r="J10" s="37" t="n">
        <f aca="false">'All Cars'!J17</f>
        <v>11664</v>
      </c>
      <c r="K10" s="35" t="str">
        <f aca="false">'All Cars'!K17</f>
        <v>No</v>
      </c>
      <c r="L10" s="35" t="str">
        <f aca="false">'All Cars'!O17</f>
        <v>GREAT</v>
      </c>
      <c r="M10" s="38" t="n">
        <f aca="false">'All Cars'!Q17</f>
        <v>-0.048</v>
      </c>
      <c r="N10" s="35" t="str">
        <f aca="false">'All Cars'!R17</f>
        <v>n/a</v>
      </c>
      <c r="O10" s="33" t="n">
        <f aca="false">'All Cars'!U17</f>
        <v>2</v>
      </c>
      <c r="P10" s="33" t="n">
        <f aca="false">'All Cars'!W17</f>
        <v>10</v>
      </c>
      <c r="Q10" s="35" t="str">
        <f aca="false">'All Cars'!AA17</f>
        <v>Yes</v>
      </c>
      <c r="R10" s="35" t="str">
        <f aca="false">'All Cars'!AD17</f>
        <v>Yes</v>
      </c>
      <c r="S10" s="35" t="str">
        <f aca="false">'All Cars'!AC17</f>
        <v>Yes</v>
      </c>
      <c r="T10" s="35" t="str">
        <f aca="false">'All Cars'!AB17</f>
        <v>Yes</v>
      </c>
      <c r="U10" s="35" t="str">
        <f aca="false">'All Cars'!M17</f>
        <v>Hybrid</v>
      </c>
      <c r="V10" s="33" t="n">
        <f aca="false">'All Cars'!N17</f>
        <v>37</v>
      </c>
      <c r="W10" s="9" t="str">
        <f aca="false">'All Cars'!AN17</f>
        <v>Gurley Leep Hyundai Subaru</v>
      </c>
      <c r="X10" s="9" t="str">
        <f aca="false">'All Cars'!AO17</f>
        <v>Mishawaka</v>
      </c>
      <c r="Y10" s="39" t="n">
        <f aca="false">'All Cars'!AQ17</f>
        <v>10.8</v>
      </c>
      <c r="Z10" s="36" t="n">
        <f aca="false">'All Cars'!AU17</f>
        <v>587.07</v>
      </c>
      <c r="AA10" s="40" t="s">
        <v>144</v>
      </c>
      <c r="AB10" s="41" t="s">
        <v>145</v>
      </c>
    </row>
    <row r="11" customFormat="false" ht="15" hidden="false" customHeight="false" outlineLevel="0" collapsed="false">
      <c r="A11" s="33" t="n">
        <f aca="false">RANK(B11,$B$5:$B$40)</f>
        <v>7</v>
      </c>
      <c r="B11" s="34" t="n">
        <f aca="false">'All Cars'!B18</f>
        <v>66.5</v>
      </c>
      <c r="C11" s="35" t="str">
        <f aca="false">'All Cars'!C18</f>
        <v>YES</v>
      </c>
      <c r="D11" s="33" t="n">
        <f aca="false">'All Cars'!D18</f>
        <v>2025</v>
      </c>
      <c r="E11" s="35" t="str">
        <f aca="false">'All Cars'!E18</f>
        <v>Honda</v>
      </c>
      <c r="F11" s="9" t="str">
        <f aca="false">'All Cars'!F18</f>
        <v>CR-V</v>
      </c>
      <c r="G11" s="9" t="str">
        <f aca="false">'All Cars'!G18</f>
        <v>EX</v>
      </c>
      <c r="H11" s="36" t="n">
        <f aca="false">'All Cars'!H18</f>
        <v>32809</v>
      </c>
      <c r="I11" s="37" t="n">
        <f aca="false">'All Cars'!I18</f>
        <v>23351</v>
      </c>
      <c r="J11" s="37" t="n">
        <f aca="false">'All Cars'!J18</f>
        <v>23351</v>
      </c>
      <c r="K11" s="35" t="str">
        <f aca="false">'All Cars'!K18</f>
        <v>Yes</v>
      </c>
      <c r="L11" s="35" t="str">
        <f aca="false">'All Cars'!O18</f>
        <v>GOOD</v>
      </c>
      <c r="M11" s="38" t="n">
        <f aca="false">'All Cars'!Q18</f>
        <v>0.047</v>
      </c>
      <c r="N11" s="35" t="str">
        <f aca="false">'All Cars'!R18</f>
        <v>GREAT</v>
      </c>
      <c r="O11" s="33" t="n">
        <f aca="false">'All Cars'!U18</f>
        <v>1</v>
      </c>
      <c r="P11" s="33" t="n">
        <f aca="false">'All Cars'!W18</f>
        <v>3</v>
      </c>
      <c r="Q11" s="35" t="str">
        <f aca="false">'All Cars'!AA18</f>
        <v>Yes</v>
      </c>
      <c r="R11" s="35" t="str">
        <f aca="false">'All Cars'!AD18</f>
        <v>No</v>
      </c>
      <c r="S11" s="35" t="str">
        <f aca="false">'All Cars'!AC18</f>
        <v>No</v>
      </c>
      <c r="T11" s="35" t="str">
        <f aca="false">'All Cars'!AB18</f>
        <v>Yes</v>
      </c>
      <c r="U11" s="35" t="str">
        <f aca="false">'All Cars'!M18</f>
        <v>Gasoline</v>
      </c>
      <c r="V11" s="33" t="n">
        <f aca="false">'All Cars'!N18</f>
        <v>28</v>
      </c>
      <c r="W11" s="9" t="str">
        <f aca="false">'All Cars'!AN18</f>
        <v>Crown Motors Cadillac Buick Honda Mazda</v>
      </c>
      <c r="X11" s="9" t="str">
        <f aca="false">'All Cars'!AO18</f>
        <v>Holland</v>
      </c>
      <c r="Y11" s="39" t="n">
        <f aca="false">'All Cars'!AQ18</f>
        <v>71</v>
      </c>
      <c r="Z11" s="36" t="n">
        <f aca="false">'All Cars'!AU18</f>
        <v>586.09</v>
      </c>
      <c r="AA11" s="40" t="s">
        <v>136</v>
      </c>
      <c r="AB11" s="41" t="s">
        <v>146</v>
      </c>
    </row>
    <row r="12" customFormat="false" ht="15" hidden="false" customHeight="false" outlineLevel="0" collapsed="false">
      <c r="A12" s="33" t="n">
        <f aca="false">RANK(B12,$B$5:$B$40)</f>
        <v>8</v>
      </c>
      <c r="B12" s="34" t="n">
        <f aca="false">'All Cars'!B19</f>
        <v>66.1</v>
      </c>
      <c r="C12" s="35" t="str">
        <f aca="false">'All Cars'!C19</f>
        <v>YES</v>
      </c>
      <c r="D12" s="33" t="n">
        <f aca="false">'All Cars'!D19</f>
        <v>2025</v>
      </c>
      <c r="E12" s="35" t="str">
        <f aca="false">'All Cars'!E19</f>
        <v>Honda</v>
      </c>
      <c r="F12" s="9" t="str">
        <f aca="false">'All Cars'!F19</f>
        <v>CR-V</v>
      </c>
      <c r="G12" s="9" t="str">
        <f aca="false">'All Cars'!G19</f>
        <v>Sport-L</v>
      </c>
      <c r="H12" s="36" t="n">
        <f aca="false">'All Cars'!H19</f>
        <v>34798</v>
      </c>
      <c r="I12" s="37" t="n">
        <f aca="false">'All Cars'!I19</f>
        <v>20222</v>
      </c>
      <c r="J12" s="37" t="n">
        <f aca="false">'All Cars'!J19</f>
        <v>20222</v>
      </c>
      <c r="K12" s="35" t="str">
        <f aca="false">'All Cars'!K19</f>
        <v>No</v>
      </c>
      <c r="L12" s="35" t="str">
        <f aca="false">'All Cars'!O19</f>
        <v>GREAT</v>
      </c>
      <c r="M12" s="38" t="n">
        <f aca="false">'All Cars'!Q19</f>
        <v>-0.004</v>
      </c>
      <c r="N12" s="35" t="str">
        <f aca="false">'All Cars'!R19</f>
        <v>n/a</v>
      </c>
      <c r="O12" s="33" t="n">
        <f aca="false">'All Cars'!U19</f>
        <v>1</v>
      </c>
      <c r="P12" s="33" t="n">
        <f aca="false">'All Cars'!W19</f>
        <v>7</v>
      </c>
      <c r="Q12" s="35" t="str">
        <f aca="false">'All Cars'!AA19</f>
        <v>Yes</v>
      </c>
      <c r="R12" s="35" t="str">
        <f aca="false">'All Cars'!AD19</f>
        <v>Yes</v>
      </c>
      <c r="S12" s="35" t="str">
        <f aca="false">'All Cars'!AC19</f>
        <v>Yes</v>
      </c>
      <c r="T12" s="35" t="str">
        <f aca="false">'All Cars'!AB19</f>
        <v>Yes</v>
      </c>
      <c r="U12" s="35" t="str">
        <f aca="false">'All Cars'!M19</f>
        <v>Hybrid</v>
      </c>
      <c r="V12" s="33" t="n">
        <f aca="false">'All Cars'!N19</f>
        <v>37</v>
      </c>
      <c r="W12" s="9" t="str">
        <f aca="false">'All Cars'!AN19</f>
        <v>Jordan Lexus of Mishawaka</v>
      </c>
      <c r="X12" s="9" t="str">
        <f aca="false">'All Cars'!AO19</f>
        <v>Mishawaka</v>
      </c>
      <c r="Y12" s="39" t="n">
        <f aca="false">'All Cars'!AQ19</f>
        <v>11.1</v>
      </c>
      <c r="Z12" s="36" t="n">
        <f aca="false">'All Cars'!AU19</f>
        <v>621.62</v>
      </c>
      <c r="AA12" s="40" t="s">
        <v>147</v>
      </c>
      <c r="AB12" s="41" t="s">
        <v>148</v>
      </c>
    </row>
    <row r="13" customFormat="false" ht="15" hidden="false" customHeight="false" outlineLevel="0" collapsed="false">
      <c r="A13" s="33" t="n">
        <f aca="false">RANK(B13,$B$5:$B$40)</f>
        <v>9</v>
      </c>
      <c r="B13" s="34" t="n">
        <f aca="false">'All Cars'!B22</f>
        <v>64.6</v>
      </c>
      <c r="C13" s="35" t="str">
        <f aca="false">'All Cars'!C22</f>
        <v>YES</v>
      </c>
      <c r="D13" s="33" t="n">
        <f aca="false">'All Cars'!D22</f>
        <v>2024</v>
      </c>
      <c r="E13" s="35" t="str">
        <f aca="false">'All Cars'!E22</f>
        <v>Toyota</v>
      </c>
      <c r="F13" s="9" t="str">
        <f aca="false">'All Cars'!F22</f>
        <v>RAV4</v>
      </c>
      <c r="G13" s="9" t="str">
        <f aca="false">'All Cars'!G22</f>
        <v>Limited Edition</v>
      </c>
      <c r="H13" s="36" t="n">
        <f aca="false">'All Cars'!H22</f>
        <v>39338</v>
      </c>
      <c r="I13" s="37" t="n">
        <f aca="false">'All Cars'!I22</f>
        <v>17459</v>
      </c>
      <c r="J13" s="37" t="n">
        <f aca="false">'All Cars'!J22</f>
        <v>8730</v>
      </c>
      <c r="K13" s="35" t="str">
        <f aca="false">'All Cars'!K22</f>
        <v>No</v>
      </c>
      <c r="L13" s="35" t="str">
        <f aca="false">'All Cars'!O22</f>
        <v>GOOD</v>
      </c>
      <c r="M13" s="38" t="n">
        <f aca="false">'All Cars'!Q22</f>
        <v>-0.137</v>
      </c>
      <c r="N13" s="35" t="str">
        <f aca="false">'All Cars'!R22</f>
        <v>n/a</v>
      </c>
      <c r="O13" s="33" t="n">
        <f aca="false">'All Cars'!U22</f>
        <v>1</v>
      </c>
      <c r="P13" s="33" t="n">
        <f aca="false">'All Cars'!W22</f>
        <v>5</v>
      </c>
      <c r="Q13" s="35" t="str">
        <f aca="false">'All Cars'!AA22</f>
        <v>Yes</v>
      </c>
      <c r="R13" s="35" t="str">
        <f aca="false">'All Cars'!AD22</f>
        <v>Yes</v>
      </c>
      <c r="S13" s="35" t="str">
        <f aca="false">'All Cars'!AC22</f>
        <v>Yes</v>
      </c>
      <c r="T13" s="35" t="str">
        <f aca="false">'All Cars'!AB22</f>
        <v>Yes</v>
      </c>
      <c r="U13" s="35" t="str">
        <f aca="false">'All Cars'!M22</f>
        <v>Gasoline</v>
      </c>
      <c r="V13" s="33" t="n">
        <f aca="false">'All Cars'!N22</f>
        <v>28</v>
      </c>
      <c r="W13" s="9" t="str">
        <f aca="false">'All Cars'!AN22</f>
        <v>Gurley Leep Buick GMC Cadillac</v>
      </c>
      <c r="X13" s="9" t="str">
        <f aca="false">'All Cars'!AO22</f>
        <v>Mishawaka</v>
      </c>
      <c r="Y13" s="39" t="n">
        <f aca="false">'All Cars'!AQ22</f>
        <v>10.7</v>
      </c>
      <c r="Z13" s="36" t="n">
        <f aca="false">'All Cars'!AU22</f>
        <v>702.72</v>
      </c>
      <c r="AA13" s="40" t="s">
        <v>149</v>
      </c>
      <c r="AB13" s="41" t="s">
        <v>150</v>
      </c>
    </row>
    <row r="14" customFormat="false" ht="15" hidden="false" customHeight="false" outlineLevel="0" collapsed="false">
      <c r="A14" s="33" t="n">
        <f aca="false">RANK(B14,$B$5:$B$40)</f>
        <v>10</v>
      </c>
      <c r="B14" s="34" t="n">
        <f aca="false">'All Cars'!B23</f>
        <v>64.5</v>
      </c>
      <c r="C14" s="35" t="str">
        <f aca="false">'All Cars'!C23</f>
        <v>YES</v>
      </c>
      <c r="D14" s="33" t="n">
        <f aca="false">'All Cars'!D23</f>
        <v>2024</v>
      </c>
      <c r="E14" s="35" t="str">
        <f aca="false">'All Cars'!E23</f>
        <v>Honda</v>
      </c>
      <c r="F14" s="9" t="str">
        <f aca="false">'All Cars'!F23</f>
        <v>CR-V</v>
      </c>
      <c r="G14" s="9" t="str">
        <f aca="false">'All Cars'!G23</f>
        <v>Sport-L</v>
      </c>
      <c r="H14" s="36" t="n">
        <f aca="false">'All Cars'!H23</f>
        <v>35190</v>
      </c>
      <c r="I14" s="37" t="n">
        <f aca="false">'All Cars'!I23</f>
        <v>23100</v>
      </c>
      <c r="J14" s="37" t="n">
        <f aca="false">'All Cars'!J23</f>
        <v>11550</v>
      </c>
      <c r="K14" s="35" t="str">
        <f aca="false">'All Cars'!K23</f>
        <v>No</v>
      </c>
      <c r="L14" s="35" t="str">
        <f aca="false">'All Cars'!O23</f>
        <v>GREAT</v>
      </c>
      <c r="M14" s="38" t="n">
        <f aca="false">'All Cars'!Q23</f>
        <v>-0.056</v>
      </c>
      <c r="N14" s="35" t="str">
        <f aca="false">'All Cars'!R23</f>
        <v>n/a</v>
      </c>
      <c r="O14" s="33" t="n">
        <f aca="false">'All Cars'!U23</f>
        <v>2</v>
      </c>
      <c r="P14" s="33" t="n">
        <f aca="false">'All Cars'!W23</f>
        <v>10</v>
      </c>
      <c r="Q14" s="35" t="str">
        <f aca="false">'All Cars'!AA23</f>
        <v>Yes</v>
      </c>
      <c r="R14" s="35" t="str">
        <f aca="false">'All Cars'!AD23</f>
        <v>Yes</v>
      </c>
      <c r="S14" s="35" t="str">
        <f aca="false">'All Cars'!AC23</f>
        <v>Yes</v>
      </c>
      <c r="T14" s="35" t="str">
        <f aca="false">'All Cars'!AB23</f>
        <v>Yes</v>
      </c>
      <c r="U14" s="35" t="str">
        <f aca="false">'All Cars'!M23</f>
        <v>Hybrid</v>
      </c>
      <c r="V14" s="33" t="n">
        <f aca="false">'All Cars'!N23</f>
        <v>37</v>
      </c>
      <c r="W14" s="9" t="str">
        <f aca="false">'All Cars'!AN23</f>
        <v>Zeigler Ford Lincoln Elkhart</v>
      </c>
      <c r="X14" s="9" t="str">
        <f aca="false">'All Cars'!AO23</f>
        <v>Elkhart</v>
      </c>
      <c r="Y14" s="39" t="n">
        <f aca="false">'All Cars'!AQ23</f>
        <v>3.1</v>
      </c>
      <c r="Z14" s="36" t="n">
        <f aca="false">'All Cars'!AU23</f>
        <v>628.62</v>
      </c>
      <c r="AA14" s="40" t="s">
        <v>151</v>
      </c>
      <c r="AB14" s="41" t="s">
        <v>152</v>
      </c>
    </row>
    <row r="15" customFormat="false" ht="15" hidden="false" customHeight="false" outlineLevel="0" collapsed="false">
      <c r="A15" s="33" t="n">
        <f aca="false">RANK(B15,$B$5:$B$40)</f>
        <v>11</v>
      </c>
      <c r="B15" s="34" t="n">
        <f aca="false">'All Cars'!B24</f>
        <v>63.9</v>
      </c>
      <c r="C15" s="35" t="str">
        <f aca="false">'All Cars'!C24</f>
        <v>YES</v>
      </c>
      <c r="D15" s="33" t="n">
        <f aca="false">'All Cars'!D24</f>
        <v>2023</v>
      </c>
      <c r="E15" s="35" t="str">
        <f aca="false">'All Cars'!E24</f>
        <v>Honda</v>
      </c>
      <c r="F15" s="9" t="str">
        <f aca="false">'All Cars'!F24</f>
        <v>CR-V</v>
      </c>
      <c r="G15" s="9" t="str">
        <f aca="false">'All Cars'!G24</f>
        <v>EXL</v>
      </c>
      <c r="H15" s="36" t="n">
        <f aca="false">'All Cars'!H24</f>
        <v>32149</v>
      </c>
      <c r="I15" s="37" t="n">
        <f aca="false">'All Cars'!I24</f>
        <v>29404</v>
      </c>
      <c r="J15" s="37" t="n">
        <f aca="false">'All Cars'!J24</f>
        <v>9801</v>
      </c>
      <c r="K15" s="35" t="str">
        <f aca="false">'All Cars'!K24</f>
        <v>No</v>
      </c>
      <c r="L15" s="35" t="str">
        <f aca="false">'All Cars'!O24</f>
        <v>GOOD</v>
      </c>
      <c r="M15" s="38" t="n">
        <f aca="false">'All Cars'!Q24</f>
        <v>-0.013</v>
      </c>
      <c r="N15" s="35" t="str">
        <f aca="false">'All Cars'!R24</f>
        <v>GREAT</v>
      </c>
      <c r="O15" s="33" t="n">
        <f aca="false">'All Cars'!U24</f>
        <v>2</v>
      </c>
      <c r="P15" s="33" t="n">
        <f aca="false">'All Cars'!W24</f>
        <v>13</v>
      </c>
      <c r="Q15" s="35" t="str">
        <f aca="false">'All Cars'!AA24</f>
        <v>Yes</v>
      </c>
      <c r="R15" s="35" t="str">
        <f aca="false">'All Cars'!AD24</f>
        <v>Yes</v>
      </c>
      <c r="S15" s="35" t="str">
        <f aca="false">'All Cars'!AC24</f>
        <v>Yes</v>
      </c>
      <c r="T15" s="35" t="str">
        <f aca="false">'All Cars'!AB24</f>
        <v>Yes</v>
      </c>
      <c r="U15" s="35" t="str">
        <f aca="false">'All Cars'!M24</f>
        <v>Gasoline</v>
      </c>
      <c r="V15" s="33" t="n">
        <f aca="false">'All Cars'!N24</f>
        <v>29</v>
      </c>
      <c r="W15" s="9" t="str">
        <f aca="false">'All Cars'!AN24</f>
        <v>Jordan Ford</v>
      </c>
      <c r="X15" s="9" t="str">
        <f aca="false">'All Cars'!AO24</f>
        <v>Mishawaka</v>
      </c>
      <c r="Y15" s="39" t="n">
        <f aca="false">'All Cars'!AQ24</f>
        <v>10.7</v>
      </c>
      <c r="Z15" s="36" t="n">
        <f aca="false">'All Cars'!AU24</f>
        <v>574.3</v>
      </c>
      <c r="AA15" s="40" t="s">
        <v>153</v>
      </c>
      <c r="AB15" s="41" t="s">
        <v>154</v>
      </c>
    </row>
    <row r="16" customFormat="false" ht="15" hidden="false" customHeight="false" outlineLevel="0" collapsed="false">
      <c r="A16" s="33" t="n">
        <f aca="false">RANK(B16,$B$5:$B$40)</f>
        <v>12</v>
      </c>
      <c r="B16" s="34" t="n">
        <f aca="false">'All Cars'!B27</f>
        <v>63.7</v>
      </c>
      <c r="C16" s="35" t="str">
        <f aca="false">'All Cars'!C27</f>
        <v>YES</v>
      </c>
      <c r="D16" s="33" t="n">
        <f aca="false">'All Cars'!D27</f>
        <v>2024</v>
      </c>
      <c r="E16" s="35" t="str">
        <f aca="false">'All Cars'!E27</f>
        <v>Honda</v>
      </c>
      <c r="F16" s="9" t="str">
        <f aca="false">'All Cars'!F27</f>
        <v>CR-V</v>
      </c>
      <c r="G16" s="9" t="str">
        <f aca="false">'All Cars'!G27</f>
        <v>Sport Touring</v>
      </c>
      <c r="H16" s="36" t="n">
        <f aca="false">'All Cars'!H27</f>
        <v>35270</v>
      </c>
      <c r="I16" s="37" t="n">
        <f aca="false">'All Cars'!I27</f>
        <v>34486</v>
      </c>
      <c r="J16" s="37" t="n">
        <f aca="false">'All Cars'!J27</f>
        <v>17243</v>
      </c>
      <c r="K16" s="35" t="str">
        <f aca="false">'All Cars'!K27</f>
        <v>No</v>
      </c>
      <c r="L16" s="35" t="str">
        <f aca="false">'All Cars'!O27</f>
        <v>GREAT</v>
      </c>
      <c r="M16" s="38" t="n">
        <f aca="false">'All Cars'!Q27</f>
        <v>-0.084</v>
      </c>
      <c r="N16" s="35" t="str">
        <f aca="false">'All Cars'!R27</f>
        <v>n/a</v>
      </c>
      <c r="O16" s="33" t="n">
        <f aca="false">'All Cars'!U27</f>
        <v>1</v>
      </c>
      <c r="P16" s="33" t="n">
        <f aca="false">'All Cars'!W27</f>
        <v>10</v>
      </c>
      <c r="Q16" s="35" t="str">
        <f aca="false">'All Cars'!AA27</f>
        <v>Yes</v>
      </c>
      <c r="R16" s="35" t="str">
        <f aca="false">'All Cars'!AD27</f>
        <v>Yes</v>
      </c>
      <c r="S16" s="35" t="str">
        <f aca="false">'All Cars'!AC27</f>
        <v>Yes</v>
      </c>
      <c r="T16" s="35" t="str">
        <f aca="false">'All Cars'!AB27</f>
        <v>Yes</v>
      </c>
      <c r="U16" s="35" t="str">
        <f aca="false">'All Cars'!M27</f>
        <v>Hybrid</v>
      </c>
      <c r="V16" s="33" t="n">
        <f aca="false">'All Cars'!N27</f>
        <v>37</v>
      </c>
      <c r="W16" s="9" t="str">
        <f aca="false">'All Cars'!AN27</f>
        <v>Signature Toyota Hyundai</v>
      </c>
      <c r="X16" s="9" t="str">
        <f aca="false">'All Cars'!AO27</f>
        <v>Benton Harbor</v>
      </c>
      <c r="Y16" s="39" t="n">
        <f aca="false">'All Cars'!AQ27</f>
        <v>34.7</v>
      </c>
      <c r="Z16" s="36" t="n">
        <f aca="false">'All Cars'!AU27</f>
        <v>630.05</v>
      </c>
      <c r="AA16" s="40" t="s">
        <v>155</v>
      </c>
      <c r="AB16" s="41" t="s">
        <v>156</v>
      </c>
    </row>
    <row r="17" customFormat="false" ht="15" hidden="false" customHeight="false" outlineLevel="0" collapsed="false">
      <c r="A17" s="33" t="n">
        <f aca="false">RANK(B17,$B$5:$B$40)</f>
        <v>13</v>
      </c>
      <c r="B17" s="34" t="n">
        <f aca="false">'All Cars'!B29</f>
        <v>63.2</v>
      </c>
      <c r="C17" s="35" t="str">
        <f aca="false">'All Cars'!C29</f>
        <v>YES</v>
      </c>
      <c r="D17" s="33" t="n">
        <f aca="false">'All Cars'!D29</f>
        <v>2024</v>
      </c>
      <c r="E17" s="35" t="str">
        <f aca="false">'All Cars'!E29</f>
        <v>Honda</v>
      </c>
      <c r="F17" s="9" t="str">
        <f aca="false">'All Cars'!F29</f>
        <v>CR-V</v>
      </c>
      <c r="G17" s="9" t="str">
        <f aca="false">'All Cars'!G29</f>
        <v>Sport-L</v>
      </c>
      <c r="H17" s="36" t="n">
        <f aca="false">'All Cars'!H29</f>
        <v>34185</v>
      </c>
      <c r="I17" s="37" t="n">
        <f aca="false">'All Cars'!I29</f>
        <v>34150</v>
      </c>
      <c r="J17" s="37" t="n">
        <f aca="false">'All Cars'!J29</f>
        <v>17075</v>
      </c>
      <c r="K17" s="35" t="str">
        <f aca="false">'All Cars'!K29</f>
        <v>No</v>
      </c>
      <c r="L17" s="35" t="str">
        <f aca="false">'All Cars'!O29</f>
        <v>GREAT</v>
      </c>
      <c r="M17" s="38" t="n">
        <f aca="false">'All Cars'!Q29</f>
        <v>-0.05</v>
      </c>
      <c r="N17" s="35" t="str">
        <f aca="false">'All Cars'!R29</f>
        <v>n/a</v>
      </c>
      <c r="O17" s="33" t="n">
        <f aca="false">'All Cars'!U29</f>
        <v>1</v>
      </c>
      <c r="P17" s="33" t="n">
        <f aca="false">'All Cars'!W29</f>
        <v>7</v>
      </c>
      <c r="Q17" s="35" t="str">
        <f aca="false">'All Cars'!AA29</f>
        <v>Yes</v>
      </c>
      <c r="R17" s="35" t="str">
        <f aca="false">'All Cars'!AD29</f>
        <v>Yes</v>
      </c>
      <c r="S17" s="35" t="str">
        <f aca="false">'All Cars'!AC29</f>
        <v>Yes</v>
      </c>
      <c r="T17" s="35" t="str">
        <f aca="false">'All Cars'!AB29</f>
        <v>Yes</v>
      </c>
      <c r="U17" s="35" t="str">
        <f aca="false">'All Cars'!M29</f>
        <v>Hybrid</v>
      </c>
      <c r="V17" s="33" t="n">
        <f aca="false">'All Cars'!N29</f>
        <v>37</v>
      </c>
      <c r="W17" s="9" t="str">
        <f aca="false">'All Cars'!AN29</f>
        <v>Gurley Leep Honda</v>
      </c>
      <c r="X17" s="9" t="str">
        <f aca="false">'All Cars'!AO29</f>
        <v>Elkhart</v>
      </c>
      <c r="Y17" s="39" t="n">
        <f aca="false">'All Cars'!AQ29</f>
        <v>0.4</v>
      </c>
      <c r="Z17" s="36" t="n">
        <f aca="false">'All Cars'!AU29</f>
        <v>610.67</v>
      </c>
      <c r="AA17" s="40" t="s">
        <v>151</v>
      </c>
      <c r="AB17" s="41" t="s">
        <v>157</v>
      </c>
    </row>
    <row r="18" customFormat="false" ht="15" hidden="false" customHeight="false" outlineLevel="0" collapsed="false">
      <c r="A18" s="33" t="n">
        <f aca="false">RANK(B18,$B$5:$B$40)</f>
        <v>14</v>
      </c>
      <c r="B18" s="34" t="n">
        <f aca="false">'All Cars'!B32</f>
        <v>62.9</v>
      </c>
      <c r="C18" s="35" t="str">
        <f aca="false">'All Cars'!C32</f>
        <v>YES</v>
      </c>
      <c r="D18" s="33" t="n">
        <f aca="false">'All Cars'!D32</f>
        <v>2025</v>
      </c>
      <c r="E18" s="35" t="str">
        <f aca="false">'All Cars'!E32</f>
        <v>Toyota</v>
      </c>
      <c r="F18" s="9" t="str">
        <f aca="false">'All Cars'!F32</f>
        <v>RAV4</v>
      </c>
      <c r="G18" s="9" t="str">
        <f aca="false">'All Cars'!G32</f>
        <v>XLE</v>
      </c>
      <c r="H18" s="36" t="n">
        <f aca="false">'All Cars'!H32</f>
        <v>36252</v>
      </c>
      <c r="I18" s="37" t="n">
        <f aca="false">'All Cars'!I32</f>
        <v>14982</v>
      </c>
      <c r="J18" s="37" t="n">
        <f aca="false">'All Cars'!J32</f>
        <v>14982</v>
      </c>
      <c r="K18" s="35" t="str">
        <f aca="false">'All Cars'!K32</f>
        <v>No</v>
      </c>
      <c r="L18" s="35" t="str">
        <f aca="false">'All Cars'!O32</f>
        <v>GREAT</v>
      </c>
      <c r="M18" s="38" t="n">
        <f aca="false">'All Cars'!Q32</f>
        <v>-0.008</v>
      </c>
      <c r="N18" s="35" t="str">
        <f aca="false">'All Cars'!R32</f>
        <v>GREAT</v>
      </c>
      <c r="O18" s="33" t="n">
        <f aca="false">'All Cars'!U32</f>
        <v>1</v>
      </c>
      <c r="P18" s="33" t="n">
        <f aca="false">'All Cars'!W32</f>
        <v>4</v>
      </c>
      <c r="Q18" s="35" t="str">
        <f aca="false">'All Cars'!AA32</f>
        <v>Yes</v>
      </c>
      <c r="R18" s="35" t="str">
        <f aca="false">'All Cars'!AD32</f>
        <v>No</v>
      </c>
      <c r="S18" s="35" t="str">
        <f aca="false">'All Cars'!AC32</f>
        <v>No</v>
      </c>
      <c r="T18" s="35" t="str">
        <f aca="false">'All Cars'!AB32</f>
        <v>Yes</v>
      </c>
      <c r="U18" s="35" t="str">
        <f aca="false">'All Cars'!M32</f>
        <v>Hybrid</v>
      </c>
      <c r="V18" s="33" t="n">
        <f aca="false">'All Cars'!N32</f>
        <v>39</v>
      </c>
      <c r="W18" s="9" t="str">
        <f aca="false">'All Cars'!AN32</f>
        <v>Michiana Chrysler Dodge Jeep Ram Fiat</v>
      </c>
      <c r="X18" s="9" t="str">
        <f aca="false">'All Cars'!AO32</f>
        <v>Mishawaka</v>
      </c>
      <c r="Y18" s="39" t="n">
        <f aca="false">'All Cars'!AQ32</f>
        <v>11</v>
      </c>
      <c r="Z18" s="36" t="n">
        <f aca="false">'All Cars'!AU32</f>
        <v>647.59</v>
      </c>
      <c r="AA18" s="40" t="s">
        <v>158</v>
      </c>
      <c r="AB18" s="41" t="s">
        <v>159</v>
      </c>
    </row>
    <row r="19" customFormat="false" ht="15" hidden="false" customHeight="false" outlineLevel="0" collapsed="false">
      <c r="A19" s="33" t="n">
        <f aca="false">RANK(B19,$B$5:$B$40)</f>
        <v>15</v>
      </c>
      <c r="B19" s="34" t="n">
        <f aca="false">'All Cars'!B33</f>
        <v>62.7</v>
      </c>
      <c r="C19" s="35" t="str">
        <f aca="false">'All Cars'!C33</f>
        <v>YES</v>
      </c>
      <c r="D19" s="33" t="n">
        <f aca="false">'All Cars'!D33</f>
        <v>2025</v>
      </c>
      <c r="E19" s="35" t="str">
        <f aca="false">'All Cars'!E33</f>
        <v>Toyota</v>
      </c>
      <c r="F19" s="9" t="str">
        <f aca="false">'All Cars'!F33</f>
        <v>RAV4</v>
      </c>
      <c r="G19" s="9" t="str">
        <f aca="false">'All Cars'!G33</f>
        <v>XLE</v>
      </c>
      <c r="H19" s="36" t="n">
        <f aca="false">'All Cars'!H33</f>
        <v>35719</v>
      </c>
      <c r="I19" s="37" t="n">
        <f aca="false">'All Cars'!I33</f>
        <v>54139</v>
      </c>
      <c r="J19" s="37" t="n">
        <f aca="false">'All Cars'!J33</f>
        <v>54139</v>
      </c>
      <c r="K19" s="35" t="str">
        <f aca="false">'All Cars'!K33</f>
        <v>Yes</v>
      </c>
      <c r="L19" s="35" t="str">
        <f aca="false">'All Cars'!O33</f>
        <v>GOOD</v>
      </c>
      <c r="M19" s="38" t="n">
        <f aca="false">'All Cars'!Q33</f>
        <v>-0.087</v>
      </c>
      <c r="N19" s="35" t="str">
        <f aca="false">'All Cars'!R33</f>
        <v>GREAT</v>
      </c>
      <c r="O19" s="33" t="n">
        <f aca="false">'All Cars'!U33</f>
        <v>1</v>
      </c>
      <c r="P19" s="33" t="n">
        <f aca="false">'All Cars'!W33</f>
        <v>6</v>
      </c>
      <c r="Q19" s="35" t="str">
        <f aca="false">'All Cars'!AA33</f>
        <v>Yes</v>
      </c>
      <c r="R19" s="35" t="str">
        <f aca="false">'All Cars'!AD33</f>
        <v>No</v>
      </c>
      <c r="S19" s="35" t="str">
        <f aca="false">'All Cars'!AC33</f>
        <v>No</v>
      </c>
      <c r="T19" s="35" t="str">
        <f aca="false">'All Cars'!AB33</f>
        <v>Yes</v>
      </c>
      <c r="U19" s="35" t="str">
        <f aca="false">'All Cars'!M33</f>
        <v>Hybrid</v>
      </c>
      <c r="V19" s="33" t="n">
        <f aca="false">'All Cars'!N33</f>
        <v>39</v>
      </c>
      <c r="W19" s="9" t="str">
        <f aca="false">'All Cars'!AN33</f>
        <v>Crown Toyota Volkswagen</v>
      </c>
      <c r="X19" s="9" t="str">
        <f aca="false">'All Cars'!AO33</f>
        <v>Holland</v>
      </c>
      <c r="Y19" s="39" t="n">
        <f aca="false">'All Cars'!AQ33</f>
        <v>74.7</v>
      </c>
      <c r="Z19" s="36" t="n">
        <f aca="false">'All Cars'!AU33</f>
        <v>638.07</v>
      </c>
      <c r="AA19" s="40" t="s">
        <v>158</v>
      </c>
      <c r="AB19" s="41" t="s">
        <v>160</v>
      </c>
    </row>
    <row r="20" customFormat="false" ht="15" hidden="false" customHeight="false" outlineLevel="0" collapsed="false">
      <c r="A20" s="33" t="n">
        <f aca="false">RANK(B20,$B$5:$B$40)</f>
        <v>16</v>
      </c>
      <c r="B20" s="34" t="n">
        <f aca="false">'All Cars'!B35</f>
        <v>62.1</v>
      </c>
      <c r="C20" s="35" t="str">
        <f aca="false">'All Cars'!C35</f>
        <v>YES</v>
      </c>
      <c r="D20" s="33" t="n">
        <f aca="false">'All Cars'!D35</f>
        <v>2025</v>
      </c>
      <c r="E20" s="35" t="str">
        <f aca="false">'All Cars'!E35</f>
        <v>Subaru</v>
      </c>
      <c r="F20" s="9" t="str">
        <f aca="false">'All Cars'!F35</f>
        <v>Outback</v>
      </c>
      <c r="G20" s="9" t="str">
        <f aca="false">'All Cars'!G35</f>
        <v>Onyx Edition</v>
      </c>
      <c r="H20" s="36" t="n">
        <f aca="false">'All Cars'!H35</f>
        <v>31233</v>
      </c>
      <c r="I20" s="37" t="n">
        <f aca="false">'All Cars'!I35</f>
        <v>16159</v>
      </c>
      <c r="J20" s="37" t="n">
        <f aca="false">'All Cars'!J35</f>
        <v>16159</v>
      </c>
      <c r="K20" s="35" t="str">
        <f aca="false">'All Cars'!K35</f>
        <v>No</v>
      </c>
      <c r="L20" s="35" t="str">
        <f aca="false">'All Cars'!O35</f>
        <v>GREAT</v>
      </c>
      <c r="M20" s="38" t="n">
        <f aca="false">'All Cars'!Q35</f>
        <v>0.045</v>
      </c>
      <c r="N20" s="35" t="str">
        <f aca="false">'All Cars'!R35</f>
        <v>GOOD</v>
      </c>
      <c r="O20" s="33" t="n">
        <f aca="false">'All Cars'!U35</f>
        <v>1</v>
      </c>
      <c r="P20" s="33" t="n">
        <f aca="false">'All Cars'!W35</f>
        <v>6</v>
      </c>
      <c r="Q20" s="35" t="str">
        <f aca="false">'All Cars'!AA35</f>
        <v>Yes</v>
      </c>
      <c r="R20" s="35" t="str">
        <f aca="false">'All Cars'!AD35</f>
        <v>Yes</v>
      </c>
      <c r="S20" s="35" t="str">
        <f aca="false">'All Cars'!AC35</f>
        <v>Yes</v>
      </c>
      <c r="T20" s="35" t="str">
        <f aca="false">'All Cars'!AB35</f>
        <v>Yes</v>
      </c>
      <c r="U20" s="35" t="str">
        <f aca="false">'All Cars'!M35</f>
        <v>Gasoline</v>
      </c>
      <c r="V20" s="33" t="n">
        <f aca="false">'All Cars'!N35</f>
        <v>28</v>
      </c>
      <c r="W20" s="9" t="str">
        <f aca="false">'All Cars'!AN35</f>
        <v>Toyota of Warsaw</v>
      </c>
      <c r="X20" s="9" t="str">
        <f aca="false">'All Cars'!AO35</f>
        <v>Warsaw</v>
      </c>
      <c r="Y20" s="39" t="n">
        <f aca="false">'All Cars'!AQ35</f>
        <v>31.9</v>
      </c>
      <c r="Z20" s="36" t="n">
        <f aca="false">'All Cars'!AU35</f>
        <v>557.93</v>
      </c>
      <c r="AA20" s="40" t="s">
        <v>161</v>
      </c>
      <c r="AB20" s="41" t="s">
        <v>162</v>
      </c>
    </row>
    <row r="21" customFormat="false" ht="15" hidden="false" customHeight="false" outlineLevel="0" collapsed="false">
      <c r="A21" s="33" t="n">
        <f aca="false">RANK(B21,$B$5:$B$40)</f>
        <v>17</v>
      </c>
      <c r="B21" s="34" t="n">
        <f aca="false">'All Cars'!B41</f>
        <v>61.1</v>
      </c>
      <c r="C21" s="35" t="str">
        <f aca="false">'All Cars'!C41</f>
        <v>YES</v>
      </c>
      <c r="D21" s="33" t="n">
        <f aca="false">'All Cars'!D41</f>
        <v>2025</v>
      </c>
      <c r="E21" s="35" t="str">
        <f aca="false">'All Cars'!E41</f>
        <v>Honda</v>
      </c>
      <c r="F21" s="9" t="str">
        <f aca="false">'All Cars'!F41</f>
        <v>CR-V</v>
      </c>
      <c r="G21" s="9" t="str">
        <f aca="false">'All Cars'!G41</f>
        <v>Sport-L</v>
      </c>
      <c r="H21" s="36" t="n">
        <f aca="false">'All Cars'!H41</f>
        <v>35094</v>
      </c>
      <c r="I21" s="37" t="n">
        <f aca="false">'All Cars'!I41</f>
        <v>29734</v>
      </c>
      <c r="J21" s="37" t="n">
        <f aca="false">'All Cars'!J41</f>
        <v>29734</v>
      </c>
      <c r="K21" s="35" t="str">
        <f aca="false">'All Cars'!K41</f>
        <v>No</v>
      </c>
      <c r="L21" s="35" t="str">
        <f aca="false">'All Cars'!O41</f>
        <v>GREAT</v>
      </c>
      <c r="M21" s="38" t="n">
        <f aca="false">'All Cars'!Q41</f>
        <v>-0.032</v>
      </c>
      <c r="N21" s="35" t="str">
        <f aca="false">'All Cars'!R41</f>
        <v>n/a</v>
      </c>
      <c r="O21" s="33" t="n">
        <f aca="false">'All Cars'!U41</f>
        <v>2</v>
      </c>
      <c r="P21" s="33" t="n">
        <f aca="false">'All Cars'!W41</f>
        <v>9</v>
      </c>
      <c r="Q21" s="35" t="str">
        <f aca="false">'All Cars'!AA41</f>
        <v>Yes</v>
      </c>
      <c r="R21" s="35" t="str">
        <f aca="false">'All Cars'!AD41</f>
        <v>Yes</v>
      </c>
      <c r="S21" s="35" t="str">
        <f aca="false">'All Cars'!AC41</f>
        <v>Yes</v>
      </c>
      <c r="T21" s="35" t="str">
        <f aca="false">'All Cars'!AB41</f>
        <v>Yes</v>
      </c>
      <c r="U21" s="35" t="str">
        <f aca="false">'All Cars'!M41</f>
        <v>Hybrid</v>
      </c>
      <c r="V21" s="33" t="n">
        <f aca="false">'All Cars'!N41</f>
        <v>37</v>
      </c>
      <c r="W21" s="9" t="str">
        <f aca="false">'All Cars'!AN41</f>
        <v>Gurley Leep Honda</v>
      </c>
      <c r="X21" s="9" t="str">
        <f aca="false">'All Cars'!AO41</f>
        <v>Elkhart</v>
      </c>
      <c r="Y21" s="39" t="n">
        <f aca="false">'All Cars'!AQ41</f>
        <v>0.4</v>
      </c>
      <c r="Z21" s="36" t="n">
        <f aca="false">'All Cars'!AU41</f>
        <v>626.9</v>
      </c>
      <c r="AA21" s="40" t="s">
        <v>147</v>
      </c>
      <c r="AB21" s="41" t="s">
        <v>163</v>
      </c>
    </row>
    <row r="22" customFormat="false" ht="15" hidden="false" customHeight="false" outlineLevel="0" collapsed="false">
      <c r="A22" s="33" t="n">
        <f aca="false">RANK(B22,$B$5:$B$40)</f>
        <v>18</v>
      </c>
      <c r="B22" s="34" t="n">
        <f aca="false">'All Cars'!B45</f>
        <v>59.4</v>
      </c>
      <c r="C22" s="35" t="str">
        <f aca="false">'All Cars'!C45</f>
        <v>YES</v>
      </c>
      <c r="D22" s="33" t="n">
        <f aca="false">'All Cars'!D45</f>
        <v>2025</v>
      </c>
      <c r="E22" s="35" t="str">
        <f aca="false">'All Cars'!E45</f>
        <v>Subaru</v>
      </c>
      <c r="F22" s="9" t="str">
        <f aca="false">'All Cars'!F45</f>
        <v>Outback</v>
      </c>
      <c r="G22" s="9" t="str">
        <f aca="false">'All Cars'!G45</f>
        <v>Onyx Edition</v>
      </c>
      <c r="H22" s="36" t="n">
        <f aca="false">'All Cars'!H45</f>
        <v>28149</v>
      </c>
      <c r="I22" s="37" t="n">
        <f aca="false">'All Cars'!I45</f>
        <v>33731</v>
      </c>
      <c r="J22" s="37" t="n">
        <f aca="false">'All Cars'!J45</f>
        <v>33731</v>
      </c>
      <c r="K22" s="35" t="str">
        <f aca="false">'All Cars'!K45</f>
        <v>No</v>
      </c>
      <c r="L22" s="35" t="str">
        <f aca="false">'All Cars'!O45</f>
        <v>GOOD</v>
      </c>
      <c r="M22" s="38" t="n">
        <f aca="false">'All Cars'!Q45</f>
        <v>0.087</v>
      </c>
      <c r="N22" s="35" t="str">
        <f aca="false">'All Cars'!R45</f>
        <v>GREAT</v>
      </c>
      <c r="O22" s="33" t="n">
        <f aca="false">'All Cars'!U45</f>
        <v>1</v>
      </c>
      <c r="P22" s="33" t="n">
        <f aca="false">'All Cars'!W45</f>
        <v>4</v>
      </c>
      <c r="Q22" s="35" t="str">
        <f aca="false">'All Cars'!AA45</f>
        <v>Yes</v>
      </c>
      <c r="R22" s="35" t="str">
        <f aca="false">'All Cars'!AD45</f>
        <v>Yes</v>
      </c>
      <c r="S22" s="35" t="str">
        <f aca="false">'All Cars'!AC45</f>
        <v>Yes</v>
      </c>
      <c r="T22" s="35" t="str">
        <f aca="false">'All Cars'!AB45</f>
        <v>Yes</v>
      </c>
      <c r="U22" s="35" t="str">
        <f aca="false">'All Cars'!M45</f>
        <v>Gasoline</v>
      </c>
      <c r="V22" s="33" t="n">
        <f aca="false">'All Cars'!N45</f>
        <v>28</v>
      </c>
      <c r="W22" s="9" t="str">
        <f aca="false">'All Cars'!AN45</f>
        <v>Gurley Leep Honda</v>
      </c>
      <c r="X22" s="9" t="str">
        <f aca="false">'All Cars'!AO45</f>
        <v>Elkhart</v>
      </c>
      <c r="Y22" s="39" t="n">
        <f aca="false">'All Cars'!AQ45</f>
        <v>0.4</v>
      </c>
      <c r="Z22" s="36" t="n">
        <f aca="false">'All Cars'!AU45</f>
        <v>502.84</v>
      </c>
      <c r="AA22" s="40" t="s">
        <v>161</v>
      </c>
      <c r="AB22" s="41" t="s">
        <v>164</v>
      </c>
    </row>
    <row r="23" customFormat="false" ht="15" hidden="false" customHeight="false" outlineLevel="0" collapsed="false">
      <c r="A23" s="33" t="n">
        <f aca="false">RANK(B23,$B$5:$B$40)</f>
        <v>19</v>
      </c>
      <c r="B23" s="34" t="n">
        <f aca="false">'All Cars'!B46</f>
        <v>59.2</v>
      </c>
      <c r="C23" s="35" t="str">
        <f aca="false">'All Cars'!C46</f>
        <v>YES</v>
      </c>
      <c r="D23" s="33" t="n">
        <f aca="false">'All Cars'!D46</f>
        <v>2025</v>
      </c>
      <c r="E23" s="35" t="str">
        <f aca="false">'All Cars'!E46</f>
        <v>Toyota</v>
      </c>
      <c r="F23" s="9" t="str">
        <f aca="false">'All Cars'!F46</f>
        <v>RAV4</v>
      </c>
      <c r="G23" s="9" t="str">
        <f aca="false">'All Cars'!G46</f>
        <v>XLE Premium</v>
      </c>
      <c r="H23" s="36" t="n">
        <f aca="false">'All Cars'!H46</f>
        <v>39185</v>
      </c>
      <c r="I23" s="37" t="n">
        <f aca="false">'All Cars'!I46</f>
        <v>15206</v>
      </c>
      <c r="J23" s="37" t="n">
        <f aca="false">'All Cars'!J46</f>
        <v>15206</v>
      </c>
      <c r="K23" s="35" t="str">
        <f aca="false">'All Cars'!K46</f>
        <v>No</v>
      </c>
      <c r="L23" s="35" t="str">
        <f aca="false">'All Cars'!O46</f>
        <v>GOOD</v>
      </c>
      <c r="M23" s="38" t="n">
        <f aca="false">'All Cars'!Q46</f>
        <v>-0.09</v>
      </c>
      <c r="N23" s="35" t="str">
        <f aca="false">'All Cars'!R46</f>
        <v>GREAT</v>
      </c>
      <c r="O23" s="33" t="n">
        <f aca="false">'All Cars'!U46</f>
        <v>1</v>
      </c>
      <c r="P23" s="33" t="n">
        <f aca="false">'All Cars'!W46</f>
        <v>5</v>
      </c>
      <c r="Q23" s="35" t="str">
        <f aca="false">'All Cars'!AA46</f>
        <v>Yes</v>
      </c>
      <c r="R23" s="35" t="str">
        <f aca="false">'All Cars'!AD46</f>
        <v>Yes</v>
      </c>
      <c r="S23" s="35" t="str">
        <f aca="false">'All Cars'!AC46</f>
        <v>Yes</v>
      </c>
      <c r="T23" s="35" t="str">
        <f aca="false">'All Cars'!AB46</f>
        <v>Yes</v>
      </c>
      <c r="U23" s="35" t="str">
        <f aca="false">'All Cars'!M46</f>
        <v>Gasoline</v>
      </c>
      <c r="V23" s="33" t="n">
        <f aca="false">'All Cars'!N46</f>
        <v>28</v>
      </c>
      <c r="W23" s="9" t="str">
        <f aca="false">'All Cars'!AN46</f>
        <v>Bob Thomas Ford West</v>
      </c>
      <c r="X23" s="9" t="str">
        <f aca="false">'All Cars'!AO46</f>
        <v>Fort Wayne</v>
      </c>
      <c r="Y23" s="39" t="n">
        <f aca="false">'All Cars'!AQ46</f>
        <v>59.9</v>
      </c>
      <c r="Z23" s="36" t="n">
        <f aca="false">'All Cars'!AU46</f>
        <v>699.98</v>
      </c>
      <c r="AA23" s="40" t="s">
        <v>165</v>
      </c>
      <c r="AB23" s="41" t="s">
        <v>166</v>
      </c>
    </row>
    <row r="24" customFormat="false" ht="15" hidden="false" customHeight="false" outlineLevel="0" collapsed="false">
      <c r="A24" s="33" t="n">
        <f aca="false">RANK(B24,$B$5:$B$40)</f>
        <v>20</v>
      </c>
      <c r="B24" s="34" t="n">
        <f aca="false">'All Cars'!B48</f>
        <v>59</v>
      </c>
      <c r="C24" s="35" t="str">
        <f aca="false">'All Cars'!C48</f>
        <v>YES</v>
      </c>
      <c r="D24" s="33" t="n">
        <f aca="false">'All Cars'!D48</f>
        <v>2024</v>
      </c>
      <c r="E24" s="35" t="str">
        <f aca="false">'All Cars'!E48</f>
        <v>Honda</v>
      </c>
      <c r="F24" s="9" t="str">
        <f aca="false">'All Cars'!F48</f>
        <v>CR-V</v>
      </c>
      <c r="G24" s="9" t="str">
        <f aca="false">'All Cars'!G48</f>
        <v>Sport</v>
      </c>
      <c r="H24" s="36" t="n">
        <f aca="false">'All Cars'!H48</f>
        <v>33249</v>
      </c>
      <c r="I24" s="37" t="n">
        <f aca="false">'All Cars'!I48</f>
        <v>31775</v>
      </c>
      <c r="J24" s="37" t="n">
        <f aca="false">'All Cars'!J48</f>
        <v>15888</v>
      </c>
      <c r="K24" s="35" t="str">
        <f aca="false">'All Cars'!K48</f>
        <v>No</v>
      </c>
      <c r="L24" s="35" t="str">
        <f aca="false">'All Cars'!O48</f>
        <v>GREAT</v>
      </c>
      <c r="M24" s="38" t="n">
        <f aca="false">'All Cars'!Q48</f>
        <v>-0.016</v>
      </c>
      <c r="N24" s="35" t="str">
        <f aca="false">'All Cars'!R48</f>
        <v>n/a</v>
      </c>
      <c r="O24" s="33" t="n">
        <f aca="false">'All Cars'!U48</f>
        <v>2</v>
      </c>
      <c r="P24" s="33" t="n">
        <f aca="false">'All Cars'!W48</f>
        <v>8</v>
      </c>
      <c r="Q24" s="35" t="str">
        <f aca="false">'All Cars'!AA48</f>
        <v>Yes</v>
      </c>
      <c r="R24" s="35" t="str">
        <f aca="false">'All Cars'!AD48</f>
        <v>Yes</v>
      </c>
      <c r="S24" s="35" t="str">
        <f aca="false">'All Cars'!AC48</f>
        <v>No</v>
      </c>
      <c r="T24" s="35" t="str">
        <f aca="false">'All Cars'!AB48</f>
        <v>Yes</v>
      </c>
      <c r="U24" s="35" t="str">
        <f aca="false">'All Cars'!M48</f>
        <v>Hybrid</v>
      </c>
      <c r="V24" s="33" t="n">
        <f aca="false">'All Cars'!N48</f>
        <v>37</v>
      </c>
      <c r="W24" s="9" t="str">
        <f aca="false">'All Cars'!AN48</f>
        <v>Jordan Ford</v>
      </c>
      <c r="X24" s="9" t="str">
        <f aca="false">'All Cars'!AO48</f>
        <v>Mishawaka</v>
      </c>
      <c r="Y24" s="39" t="n">
        <f aca="false">'All Cars'!AQ48</f>
        <v>10.7</v>
      </c>
      <c r="Z24" s="36" t="n">
        <f aca="false">'All Cars'!AU48</f>
        <v>593.95</v>
      </c>
      <c r="AA24" s="40" t="s">
        <v>140</v>
      </c>
      <c r="AB24" s="41" t="s">
        <v>167</v>
      </c>
    </row>
    <row r="25" customFormat="false" ht="15" hidden="false" customHeight="false" outlineLevel="0" collapsed="false">
      <c r="A25" s="33" t="n">
        <f aca="false">RANK(B25,$B$5:$B$40)</f>
        <v>21</v>
      </c>
      <c r="B25" s="34" t="n">
        <f aca="false">'All Cars'!B50</f>
        <v>58.6</v>
      </c>
      <c r="C25" s="35" t="str">
        <f aca="false">'All Cars'!C50</f>
        <v>YES</v>
      </c>
      <c r="D25" s="33" t="n">
        <f aca="false">'All Cars'!D50</f>
        <v>2025</v>
      </c>
      <c r="E25" s="35" t="str">
        <f aca="false">'All Cars'!E50</f>
        <v>Honda</v>
      </c>
      <c r="F25" s="9" t="str">
        <f aca="false">'All Cars'!F50</f>
        <v>CR-V</v>
      </c>
      <c r="G25" s="9" t="str">
        <f aca="false">'All Cars'!G50</f>
        <v>Sport-L</v>
      </c>
      <c r="H25" s="36" t="n">
        <f aca="false">'All Cars'!H50</f>
        <v>36597</v>
      </c>
      <c r="I25" s="37" t="n">
        <f aca="false">'All Cars'!I50</f>
        <v>16535</v>
      </c>
      <c r="J25" s="37" t="n">
        <f aca="false">'All Cars'!J50</f>
        <v>16535</v>
      </c>
      <c r="K25" s="35" t="str">
        <f aca="false">'All Cars'!K50</f>
        <v>No</v>
      </c>
      <c r="L25" s="35" t="str">
        <f aca="false">'All Cars'!O50</f>
        <v>GOOD</v>
      </c>
      <c r="M25" s="38" t="n">
        <f aca="false">'All Cars'!Q50</f>
        <v>-0.049</v>
      </c>
      <c r="N25" s="35" t="str">
        <f aca="false">'All Cars'!R50</f>
        <v>GREAT</v>
      </c>
      <c r="O25" s="33" t="n">
        <f aca="false">'All Cars'!U50</f>
        <v>2</v>
      </c>
      <c r="P25" s="33" t="n">
        <f aca="false">'All Cars'!W50</f>
        <v>5</v>
      </c>
      <c r="Q25" s="35" t="str">
        <f aca="false">'All Cars'!AA50</f>
        <v>Yes</v>
      </c>
      <c r="R25" s="35" t="str">
        <f aca="false">'All Cars'!AD50</f>
        <v>Yes</v>
      </c>
      <c r="S25" s="35" t="str">
        <f aca="false">'All Cars'!AC50</f>
        <v>Yes</v>
      </c>
      <c r="T25" s="35" t="str">
        <f aca="false">'All Cars'!AB50</f>
        <v>Yes</v>
      </c>
      <c r="U25" s="35" t="str">
        <f aca="false">'All Cars'!M50</f>
        <v>Hybrid</v>
      </c>
      <c r="V25" s="33" t="n">
        <f aca="false">'All Cars'!N50</f>
        <v>37</v>
      </c>
      <c r="W25" s="9" t="str">
        <f aca="false">'All Cars'!AN50</f>
        <v>Gurley Leep Honda</v>
      </c>
      <c r="X25" s="9" t="str">
        <f aca="false">'All Cars'!AO50</f>
        <v>Elkhart</v>
      </c>
      <c r="Y25" s="39" t="n">
        <f aca="false">'All Cars'!AQ50</f>
        <v>0.4</v>
      </c>
      <c r="Z25" s="36" t="n">
        <f aca="false">'All Cars'!AU50</f>
        <v>653.75</v>
      </c>
      <c r="AA25" s="40" t="s">
        <v>147</v>
      </c>
      <c r="AB25" s="41" t="s">
        <v>168</v>
      </c>
    </row>
    <row r="26" customFormat="false" ht="15" hidden="false" customHeight="false" outlineLevel="0" collapsed="false">
      <c r="A26" s="33" t="n">
        <f aca="false">RANK(B26,$B$5:$B$40)</f>
        <v>22</v>
      </c>
      <c r="B26" s="34" t="n">
        <f aca="false">'All Cars'!B53</f>
        <v>57.9</v>
      </c>
      <c r="C26" s="35" t="str">
        <f aca="false">'All Cars'!C53</f>
        <v>YES</v>
      </c>
      <c r="D26" s="33" t="n">
        <f aca="false">'All Cars'!D53</f>
        <v>2024</v>
      </c>
      <c r="E26" s="35" t="str">
        <f aca="false">'All Cars'!E53</f>
        <v>Subaru</v>
      </c>
      <c r="F26" s="9" t="str">
        <f aca="false">'All Cars'!F53</f>
        <v>Outback</v>
      </c>
      <c r="G26" s="9" t="str">
        <f aca="false">'All Cars'!G53</f>
        <v>Limited XT</v>
      </c>
      <c r="H26" s="36" t="n">
        <f aca="false">'All Cars'!H53</f>
        <v>30238</v>
      </c>
      <c r="I26" s="37" t="n">
        <f aca="false">'All Cars'!I53</f>
        <v>25726</v>
      </c>
      <c r="J26" s="37" t="n">
        <f aca="false">'All Cars'!J53</f>
        <v>12863</v>
      </c>
      <c r="K26" s="35" t="str">
        <f aca="false">'All Cars'!K53</f>
        <v>No</v>
      </c>
      <c r="L26" s="35" t="str">
        <f aca="false">'All Cars'!O53</f>
        <v>GOOD</v>
      </c>
      <c r="M26" s="38" t="n">
        <f aca="false">'All Cars'!Q53</f>
        <v>-0.008</v>
      </c>
      <c r="N26" s="35" t="str">
        <f aca="false">'All Cars'!R53</f>
        <v>GOOD</v>
      </c>
      <c r="O26" s="33" t="n">
        <f aca="false">'All Cars'!U53</f>
        <v>1</v>
      </c>
      <c r="P26" s="33" t="n">
        <f aca="false">'All Cars'!W53</f>
        <v>9</v>
      </c>
      <c r="Q26" s="35" t="str">
        <f aca="false">'All Cars'!AA53</f>
        <v>Yes</v>
      </c>
      <c r="R26" s="35" t="str">
        <f aca="false">'All Cars'!AD53</f>
        <v>Yes</v>
      </c>
      <c r="S26" s="35" t="str">
        <f aca="false">'All Cars'!AC53</f>
        <v>Yes</v>
      </c>
      <c r="T26" s="35" t="str">
        <f aca="false">'All Cars'!AB53</f>
        <v>Yes</v>
      </c>
      <c r="U26" s="35" t="str">
        <f aca="false">'All Cars'!M53</f>
        <v>Gasoline</v>
      </c>
      <c r="V26" s="33" t="n">
        <f aca="false">'All Cars'!N53</f>
        <v>25</v>
      </c>
      <c r="W26" s="9" t="str">
        <f aca="false">'All Cars'!AN53</f>
        <v>Victory Honda Michigan City</v>
      </c>
      <c r="X26" s="9" t="str">
        <f aca="false">'All Cars'!AO53</f>
        <v>MICHIGAN CITY</v>
      </c>
      <c r="Y26" s="39" t="n">
        <f aca="false">'All Cars'!AQ53</f>
        <v>46.9</v>
      </c>
      <c r="Z26" s="36" t="n">
        <f aca="false">'All Cars'!AU53</f>
        <v>540.16</v>
      </c>
      <c r="AA26" s="40" t="s">
        <v>169</v>
      </c>
      <c r="AB26" s="41" t="s">
        <v>170</v>
      </c>
    </row>
    <row r="27" customFormat="false" ht="15" hidden="false" customHeight="false" outlineLevel="0" collapsed="false">
      <c r="A27" s="33" t="n">
        <f aca="false">RANK(B27,$B$5:$B$40)</f>
        <v>23</v>
      </c>
      <c r="B27" s="34" t="n">
        <f aca="false">'All Cars'!B55</f>
        <v>57.7</v>
      </c>
      <c r="C27" s="35" t="str">
        <f aca="false">'All Cars'!C55</f>
        <v>YES</v>
      </c>
      <c r="D27" s="33" t="n">
        <f aca="false">'All Cars'!D55</f>
        <v>2022</v>
      </c>
      <c r="E27" s="35" t="str">
        <f aca="false">'All Cars'!E55</f>
        <v>Honda</v>
      </c>
      <c r="F27" s="9" t="str">
        <f aca="false">'All Cars'!F55</f>
        <v>CR-V</v>
      </c>
      <c r="G27" s="9" t="str">
        <f aca="false">'All Cars'!G55</f>
        <v>EXL</v>
      </c>
      <c r="H27" s="36" t="n">
        <f aca="false">'All Cars'!H55</f>
        <v>27793</v>
      </c>
      <c r="I27" s="37" t="n">
        <f aca="false">'All Cars'!I55</f>
        <v>49644</v>
      </c>
      <c r="J27" s="37" t="n">
        <f aca="false">'All Cars'!J55</f>
        <v>12411</v>
      </c>
      <c r="K27" s="35" t="str">
        <f aca="false">'All Cars'!K55</f>
        <v>No</v>
      </c>
      <c r="L27" s="35" t="str">
        <f aca="false">'All Cars'!O55</f>
        <v>GREAT</v>
      </c>
      <c r="M27" s="38" t="n">
        <f aca="false">'All Cars'!Q55</f>
        <v>0.048</v>
      </c>
      <c r="N27" s="35" t="str">
        <f aca="false">'All Cars'!R55</f>
        <v>GREAT</v>
      </c>
      <c r="O27" s="33" t="n">
        <f aca="false">'All Cars'!U55</f>
        <v>3</v>
      </c>
      <c r="P27" s="33" t="n">
        <f aca="false">'All Cars'!W55</f>
        <v>12</v>
      </c>
      <c r="Q27" s="35" t="str">
        <f aca="false">'All Cars'!AA55</f>
        <v>Yes</v>
      </c>
      <c r="R27" s="35" t="str">
        <f aca="false">'All Cars'!AD55</f>
        <v>Yes</v>
      </c>
      <c r="S27" s="35" t="str">
        <f aca="false">'All Cars'!AC55</f>
        <v>Yes</v>
      </c>
      <c r="T27" s="35" t="str">
        <f aca="false">'All Cars'!AB55</f>
        <v>Yes</v>
      </c>
      <c r="U27" s="35" t="str">
        <f aca="false">'All Cars'!M55</f>
        <v>Gasoline</v>
      </c>
      <c r="V27" s="33" t="n">
        <f aca="false">'All Cars'!N55</f>
        <v>29</v>
      </c>
      <c r="W27" s="9" t="str">
        <f aca="false">'All Cars'!AN55</f>
        <v>Jim Stykemain Ford</v>
      </c>
      <c r="X27" s="9" t="str">
        <f aca="false">'All Cars'!AO55</f>
        <v>Garrett</v>
      </c>
      <c r="Y27" s="39" t="n">
        <f aca="false">'All Cars'!AQ55</f>
        <v>50.6</v>
      </c>
      <c r="Z27" s="36" t="n">
        <f aca="false">'All Cars'!AU55</f>
        <v>496.48</v>
      </c>
      <c r="AA27" s="40" t="s">
        <v>171</v>
      </c>
      <c r="AB27" s="41" t="s">
        <v>172</v>
      </c>
    </row>
    <row r="28" customFormat="false" ht="15" hidden="false" customHeight="false" outlineLevel="0" collapsed="false">
      <c r="A28" s="33" t="n">
        <f aca="false">RANK(B28,$B$5:$B$40)</f>
        <v>24</v>
      </c>
      <c r="B28" s="34" t="n">
        <f aca="false">'All Cars'!B57</f>
        <v>57.4</v>
      </c>
      <c r="C28" s="35" t="str">
        <f aca="false">'All Cars'!C57</f>
        <v>YES</v>
      </c>
      <c r="D28" s="33" t="n">
        <f aca="false">'All Cars'!D57</f>
        <v>2025</v>
      </c>
      <c r="E28" s="35" t="str">
        <f aca="false">'All Cars'!E57</f>
        <v>Honda</v>
      </c>
      <c r="F28" s="9" t="str">
        <f aca="false">'All Cars'!F57</f>
        <v>CR-V</v>
      </c>
      <c r="G28" s="9" t="str">
        <f aca="false">'All Cars'!G57</f>
        <v>Sport-L</v>
      </c>
      <c r="H28" s="36" t="n">
        <f aca="false">'All Cars'!H57</f>
        <v>35897</v>
      </c>
      <c r="I28" s="37" t="n">
        <f aca="false">'All Cars'!I57</f>
        <v>27590</v>
      </c>
      <c r="J28" s="37" t="n">
        <f aca="false">'All Cars'!J57</f>
        <v>27590</v>
      </c>
      <c r="K28" s="35" t="str">
        <f aca="false">'All Cars'!K57</f>
        <v>No</v>
      </c>
      <c r="L28" s="35" t="str">
        <f aca="false">'All Cars'!O57</f>
        <v>GOOD</v>
      </c>
      <c r="M28" s="38" t="n">
        <f aca="false">'All Cars'!Q57</f>
        <v>-0.052</v>
      </c>
      <c r="N28" s="35" t="str">
        <f aca="false">'All Cars'!R57</f>
        <v>GREAT</v>
      </c>
      <c r="O28" s="33" t="n">
        <f aca="false">'All Cars'!U57</f>
        <v>2</v>
      </c>
      <c r="P28" s="33" t="n">
        <f aca="false">'All Cars'!W57</f>
        <v>12</v>
      </c>
      <c r="Q28" s="35" t="str">
        <f aca="false">'All Cars'!AA57</f>
        <v>Yes</v>
      </c>
      <c r="R28" s="35" t="str">
        <f aca="false">'All Cars'!AD57</f>
        <v>Yes</v>
      </c>
      <c r="S28" s="35" t="str">
        <f aca="false">'All Cars'!AC57</f>
        <v>Yes</v>
      </c>
      <c r="T28" s="35" t="str">
        <f aca="false">'All Cars'!AB57</f>
        <v>Yes</v>
      </c>
      <c r="U28" s="35" t="str">
        <f aca="false">'All Cars'!M57</f>
        <v>Hybrid</v>
      </c>
      <c r="V28" s="33" t="n">
        <f aca="false">'All Cars'!N57</f>
        <v>37</v>
      </c>
      <c r="W28" s="9" t="str">
        <f aca="false">'All Cars'!AN57</f>
        <v>Gurley Leep Honda</v>
      </c>
      <c r="X28" s="9" t="str">
        <f aca="false">'All Cars'!AO57</f>
        <v>Elkhart</v>
      </c>
      <c r="Y28" s="39" t="n">
        <f aca="false">'All Cars'!AQ57</f>
        <v>0.4</v>
      </c>
      <c r="Z28" s="36" t="n">
        <f aca="false">'All Cars'!AU57</f>
        <v>641.25</v>
      </c>
      <c r="AA28" s="40" t="s">
        <v>147</v>
      </c>
      <c r="AB28" s="41" t="s">
        <v>173</v>
      </c>
    </row>
    <row r="29" customFormat="false" ht="15" hidden="false" customHeight="false" outlineLevel="0" collapsed="false">
      <c r="A29" s="33" t="n">
        <f aca="false">RANK(B29,$B$5:$B$40)</f>
        <v>25</v>
      </c>
      <c r="B29" s="34" t="n">
        <f aca="false">'All Cars'!B58</f>
        <v>57.3</v>
      </c>
      <c r="C29" s="35" t="str">
        <f aca="false">'All Cars'!C58</f>
        <v>YES</v>
      </c>
      <c r="D29" s="33" t="n">
        <f aca="false">'All Cars'!D58</f>
        <v>2025</v>
      </c>
      <c r="E29" s="35" t="str">
        <f aca="false">'All Cars'!E58</f>
        <v>Honda</v>
      </c>
      <c r="F29" s="9" t="str">
        <f aca="false">'All Cars'!F58</f>
        <v>HR-V</v>
      </c>
      <c r="G29" s="9" t="str">
        <f aca="false">'All Cars'!G58</f>
        <v>Sport</v>
      </c>
      <c r="H29" s="36" t="n">
        <f aca="false">'All Cars'!H58</f>
        <v>27095</v>
      </c>
      <c r="I29" s="37" t="n">
        <f aca="false">'All Cars'!I58</f>
        <v>21310</v>
      </c>
      <c r="J29" s="37" t="n">
        <f aca="false">'All Cars'!J58</f>
        <v>21310</v>
      </c>
      <c r="K29" s="35" t="str">
        <f aca="false">'All Cars'!K58</f>
        <v>No</v>
      </c>
      <c r="L29" s="35" t="str">
        <f aca="false">'All Cars'!O58</f>
        <v>GOOD</v>
      </c>
      <c r="M29" s="38" t="n">
        <f aca="false">'All Cars'!Q58</f>
        <v>0.001</v>
      </c>
      <c r="N29" s="35" t="str">
        <f aca="false">'All Cars'!R58</f>
        <v>GREAT</v>
      </c>
      <c r="O29" s="33" t="n">
        <f aca="false">'All Cars'!U58</f>
        <v>1</v>
      </c>
      <c r="P29" s="33" t="n">
        <f aca="false">'All Cars'!W58</f>
        <v>5</v>
      </c>
      <c r="Q29" s="35" t="str">
        <f aca="false">'All Cars'!AA58</f>
        <v>No</v>
      </c>
      <c r="R29" s="35" t="str">
        <f aca="false">'All Cars'!AD58</f>
        <v>Yes</v>
      </c>
      <c r="S29" s="35" t="str">
        <f aca="false">'All Cars'!AC58</f>
        <v>No</v>
      </c>
      <c r="T29" s="35" t="str">
        <f aca="false">'All Cars'!AB58</f>
        <v>Yes</v>
      </c>
      <c r="U29" s="35" t="str">
        <f aca="false">'All Cars'!M58</f>
        <v>Gasoline</v>
      </c>
      <c r="V29" s="33" t="n">
        <f aca="false">'All Cars'!N58</f>
        <v>27</v>
      </c>
      <c r="W29" s="9" t="str">
        <f aca="false">'All Cars'!AN58</f>
        <v>Gurley Leep Honda</v>
      </c>
      <c r="X29" s="9" t="str">
        <f aca="false">'All Cars'!AO58</f>
        <v>Elkhart</v>
      </c>
      <c r="Y29" s="39" t="n">
        <f aca="false">'All Cars'!AQ58</f>
        <v>0.4</v>
      </c>
      <c r="Z29" s="36" t="n">
        <f aca="false">'All Cars'!AU58</f>
        <v>484.01</v>
      </c>
      <c r="AA29" s="40" t="s">
        <v>174</v>
      </c>
      <c r="AB29" s="41" t="s">
        <v>175</v>
      </c>
    </row>
    <row r="30" customFormat="false" ht="15" hidden="false" customHeight="false" outlineLevel="0" collapsed="false">
      <c r="A30" s="33" t="n">
        <f aca="false">RANK(B30,$B$5:$B$40)</f>
        <v>26</v>
      </c>
      <c r="B30" s="34" t="n">
        <f aca="false">'All Cars'!B62</f>
        <v>56.8</v>
      </c>
      <c r="C30" s="35" t="str">
        <f aca="false">'All Cars'!C62</f>
        <v>YES</v>
      </c>
      <c r="D30" s="33" t="n">
        <f aca="false">'All Cars'!D62</f>
        <v>2025</v>
      </c>
      <c r="E30" s="35" t="str">
        <f aca="false">'All Cars'!E62</f>
        <v>Toyota</v>
      </c>
      <c r="F30" s="9" t="str">
        <f aca="false">'All Cars'!F62</f>
        <v>RAV4</v>
      </c>
      <c r="G30" s="9" t="str">
        <f aca="false">'All Cars'!G62</f>
        <v>XLE</v>
      </c>
      <c r="H30" s="36" t="n">
        <f aca="false">'All Cars'!H62</f>
        <v>36395</v>
      </c>
      <c r="I30" s="37" t="n">
        <f aca="false">'All Cars'!I62</f>
        <v>11639</v>
      </c>
      <c r="J30" s="37" t="n">
        <f aca="false">'All Cars'!J62</f>
        <v>11639</v>
      </c>
      <c r="K30" s="35" t="str">
        <f aca="false">'All Cars'!K62</f>
        <v>No</v>
      </c>
      <c r="L30" s="35" t="str">
        <f aca="false">'All Cars'!O62</f>
        <v>GOOD</v>
      </c>
      <c r="M30" s="38" t="n">
        <f aca="false">'All Cars'!Q62</f>
        <v>-0.004</v>
      </c>
      <c r="N30" s="35" t="str">
        <f aca="false">'All Cars'!R62</f>
        <v>GREAT</v>
      </c>
      <c r="O30" s="33" t="n">
        <f aca="false">'All Cars'!U62</f>
        <v>2</v>
      </c>
      <c r="P30" s="33" t="n">
        <f aca="false">'All Cars'!W62</f>
        <v>3</v>
      </c>
      <c r="Q30" s="35" t="str">
        <f aca="false">'All Cars'!AA62</f>
        <v>Yes</v>
      </c>
      <c r="R30" s="35" t="str">
        <f aca="false">'All Cars'!AD62</f>
        <v>No</v>
      </c>
      <c r="S30" s="35" t="str">
        <f aca="false">'All Cars'!AC62</f>
        <v>Yes</v>
      </c>
      <c r="T30" s="35" t="str">
        <f aca="false">'All Cars'!AB62</f>
        <v>Yes</v>
      </c>
      <c r="U30" s="35" t="str">
        <f aca="false">'All Cars'!M62</f>
        <v>Gasoline</v>
      </c>
      <c r="V30" s="33" t="n">
        <f aca="false">'All Cars'!N62</f>
        <v>28</v>
      </c>
      <c r="W30" s="9" t="str">
        <f aca="false">'All Cars'!AN62</f>
        <v>Sunshine Toyota</v>
      </c>
      <c r="X30" s="9" t="str">
        <f aca="false">'All Cars'!AO62</f>
        <v>Springfield</v>
      </c>
      <c r="Y30" s="39" t="n">
        <f aca="false">'All Cars'!AQ62</f>
        <v>56.8</v>
      </c>
      <c r="Z30" s="36" t="n">
        <f aca="false">'All Cars'!AU62</f>
        <v>650.14</v>
      </c>
      <c r="AA30" s="40" t="s">
        <v>158</v>
      </c>
      <c r="AB30" s="41" t="s">
        <v>176</v>
      </c>
    </row>
    <row r="31" customFormat="false" ht="15" hidden="false" customHeight="false" outlineLevel="0" collapsed="false">
      <c r="A31" s="33" t="n">
        <f aca="false">RANK(B31,$B$5:$B$40)</f>
        <v>27</v>
      </c>
      <c r="B31" s="34" t="n">
        <f aca="false">'All Cars'!B64</f>
        <v>56.6</v>
      </c>
      <c r="C31" s="35" t="str">
        <f aca="false">'All Cars'!C64</f>
        <v>YES</v>
      </c>
      <c r="D31" s="33" t="n">
        <f aca="false">'All Cars'!D64</f>
        <v>2023</v>
      </c>
      <c r="E31" s="35" t="str">
        <f aca="false">'All Cars'!E64</f>
        <v>Honda</v>
      </c>
      <c r="F31" s="9" t="str">
        <f aca="false">'All Cars'!F64</f>
        <v>CR-V</v>
      </c>
      <c r="G31" s="9" t="str">
        <f aca="false">'All Cars'!G64</f>
        <v>EX</v>
      </c>
      <c r="H31" s="36" t="n">
        <f aca="false">'All Cars'!H64</f>
        <v>29982</v>
      </c>
      <c r="I31" s="37" t="n">
        <f aca="false">'All Cars'!I64</f>
        <v>34721</v>
      </c>
      <c r="J31" s="37" t="n">
        <f aca="false">'All Cars'!J64</f>
        <v>11574</v>
      </c>
      <c r="K31" s="35" t="str">
        <f aca="false">'All Cars'!K64</f>
        <v>No</v>
      </c>
      <c r="L31" s="35" t="str">
        <f aca="false">'All Cars'!O64</f>
        <v>GOOD</v>
      </c>
      <c r="M31" s="38" t="n">
        <f aca="false">'All Cars'!Q64</f>
        <v>0.044</v>
      </c>
      <c r="N31" s="35" t="str">
        <f aca="false">'All Cars'!R64</f>
        <v>GREAT</v>
      </c>
      <c r="O31" s="33" t="n">
        <f aca="false">'All Cars'!U64</f>
        <v>2</v>
      </c>
      <c r="P31" s="33" t="n">
        <f aca="false">'All Cars'!W64</f>
        <v>9</v>
      </c>
      <c r="Q31" s="35" t="str">
        <f aca="false">'All Cars'!AA64</f>
        <v>Yes</v>
      </c>
      <c r="R31" s="35" t="str">
        <f aca="false">'All Cars'!AD64</f>
        <v>No</v>
      </c>
      <c r="S31" s="35" t="str">
        <f aca="false">'All Cars'!AC64</f>
        <v>No</v>
      </c>
      <c r="T31" s="35" t="str">
        <f aca="false">'All Cars'!AB64</f>
        <v>Yes</v>
      </c>
      <c r="U31" s="35" t="str">
        <f aca="false">'All Cars'!M64</f>
        <v>Gasoline</v>
      </c>
      <c r="V31" s="33" t="n">
        <f aca="false">'All Cars'!N64</f>
        <v>29</v>
      </c>
      <c r="W31" s="9" t="str">
        <f aca="false">'All Cars'!AN64</f>
        <v>Gates Chevrolet South Bend</v>
      </c>
      <c r="X31" s="9" t="str">
        <f aca="false">'All Cars'!AO64</f>
        <v>South Bend</v>
      </c>
      <c r="Y31" s="39" t="n">
        <f aca="false">'All Cars'!AQ64</f>
        <v>15.4</v>
      </c>
      <c r="Z31" s="36" t="n">
        <f aca="false">'All Cars'!AU64</f>
        <v>535.59</v>
      </c>
      <c r="AA31" s="40" t="s">
        <v>177</v>
      </c>
      <c r="AB31" s="41" t="s">
        <v>178</v>
      </c>
    </row>
    <row r="32" customFormat="false" ht="15" hidden="false" customHeight="false" outlineLevel="0" collapsed="false">
      <c r="A32" s="33" t="n">
        <f aca="false">RANK(B32,$B$5:$B$40)</f>
        <v>28</v>
      </c>
      <c r="B32" s="34" t="n">
        <f aca="false">'All Cars'!B69</f>
        <v>55.8</v>
      </c>
      <c r="C32" s="35" t="str">
        <f aca="false">'All Cars'!C69</f>
        <v>YES</v>
      </c>
      <c r="D32" s="33" t="n">
        <f aca="false">'All Cars'!D69</f>
        <v>2025</v>
      </c>
      <c r="E32" s="35" t="str">
        <f aca="false">'All Cars'!E69</f>
        <v>Honda</v>
      </c>
      <c r="F32" s="9" t="str">
        <f aca="false">'All Cars'!F69</f>
        <v>CR-V</v>
      </c>
      <c r="G32" s="9" t="str">
        <f aca="false">'All Cars'!G69</f>
        <v>EX</v>
      </c>
      <c r="H32" s="36" t="n">
        <f aca="false">'All Cars'!H69</f>
        <v>30472</v>
      </c>
      <c r="I32" s="37" t="n">
        <f aca="false">'All Cars'!I69</f>
        <v>41083</v>
      </c>
      <c r="J32" s="37" t="n">
        <f aca="false">'All Cars'!J69</f>
        <v>41083</v>
      </c>
      <c r="K32" s="35" t="str">
        <f aca="false">'All Cars'!K69</f>
        <v>No</v>
      </c>
      <c r="L32" s="35" t="str">
        <f aca="false">'All Cars'!O69</f>
        <v>GREAT</v>
      </c>
      <c r="M32" s="38" t="n">
        <f aca="false">'All Cars'!Q69</f>
        <v>0.082</v>
      </c>
      <c r="N32" s="35" t="str">
        <f aca="false">'All Cars'!R69</f>
        <v>GREAT</v>
      </c>
      <c r="O32" s="33" t="n">
        <f aca="false">'All Cars'!U69</f>
        <v>1</v>
      </c>
      <c r="P32" s="33" t="n">
        <f aca="false">'All Cars'!W69</f>
        <v>5</v>
      </c>
      <c r="Q32" s="35" t="str">
        <f aca="false">'All Cars'!AA69</f>
        <v>Yes</v>
      </c>
      <c r="R32" s="35" t="str">
        <f aca="false">'All Cars'!AD69</f>
        <v>No</v>
      </c>
      <c r="S32" s="35" t="str">
        <f aca="false">'All Cars'!AC69</f>
        <v>No</v>
      </c>
      <c r="T32" s="35" t="str">
        <f aca="false">'All Cars'!AB69</f>
        <v>Yes</v>
      </c>
      <c r="U32" s="35" t="str">
        <f aca="false">'All Cars'!M69</f>
        <v>Gasoline</v>
      </c>
      <c r="V32" s="33" t="n">
        <f aca="false">'All Cars'!N69</f>
        <v>28</v>
      </c>
      <c r="W32" s="9" t="str">
        <f aca="false">'All Cars'!AN69</f>
        <v>Zeigler Chrysler Jeep Dodge Ram of Kalamazoo</v>
      </c>
      <c r="X32" s="9" t="str">
        <f aca="false">'All Cars'!AO69</f>
        <v>Kalamazoo</v>
      </c>
      <c r="Y32" s="39" t="n">
        <f aca="false">'All Cars'!AQ69</f>
        <v>41.6</v>
      </c>
      <c r="Z32" s="36" t="n">
        <f aca="false">'All Cars'!AU69</f>
        <v>544.34</v>
      </c>
      <c r="AA32" s="40" t="s">
        <v>136</v>
      </c>
      <c r="AB32" s="41" t="s">
        <v>179</v>
      </c>
    </row>
    <row r="33" customFormat="false" ht="15" hidden="false" customHeight="false" outlineLevel="0" collapsed="false">
      <c r="A33" s="33" t="n">
        <f aca="false">RANK(B33,$B$5:$B$40)</f>
        <v>29</v>
      </c>
      <c r="B33" s="34" t="n">
        <f aca="false">'All Cars'!B77</f>
        <v>55.1</v>
      </c>
      <c r="C33" s="35" t="str">
        <f aca="false">'All Cars'!C77</f>
        <v>YES</v>
      </c>
      <c r="D33" s="33" t="n">
        <f aca="false">'All Cars'!D77</f>
        <v>2022</v>
      </c>
      <c r="E33" s="35" t="str">
        <f aca="false">'All Cars'!E77</f>
        <v>Toyota</v>
      </c>
      <c r="F33" s="9" t="str">
        <f aca="false">'All Cars'!F77</f>
        <v>4Runner</v>
      </c>
      <c r="G33" s="9" t="str">
        <f aca="false">'All Cars'!G77</f>
        <v>TRD Off Road Premium</v>
      </c>
      <c r="H33" s="36" t="n">
        <f aca="false">'All Cars'!H77</f>
        <v>38104</v>
      </c>
      <c r="I33" s="37" t="n">
        <f aca="false">'All Cars'!I77</f>
        <v>78455</v>
      </c>
      <c r="J33" s="37" t="n">
        <f aca="false">'All Cars'!J77</f>
        <v>19614</v>
      </c>
      <c r="K33" s="35" t="str">
        <f aca="false">'All Cars'!K77</f>
        <v>No</v>
      </c>
      <c r="L33" s="35" t="str">
        <f aca="false">'All Cars'!O77</f>
        <v>GREAT</v>
      </c>
      <c r="M33" s="38" t="n">
        <f aca="false">'All Cars'!Q77</f>
        <v>0</v>
      </c>
      <c r="N33" s="35" t="str">
        <f aca="false">'All Cars'!R77</f>
        <v>GREAT</v>
      </c>
      <c r="O33" s="33" t="n">
        <f aca="false">'All Cars'!U77</f>
        <v>1</v>
      </c>
      <c r="P33" s="33" t="n">
        <f aca="false">'All Cars'!W77</f>
        <v>17</v>
      </c>
      <c r="Q33" s="35" t="str">
        <f aca="false">'All Cars'!AA77</f>
        <v>Yes</v>
      </c>
      <c r="R33" s="35" t="str">
        <f aca="false">'All Cars'!AD77</f>
        <v>No</v>
      </c>
      <c r="S33" s="35" t="str">
        <f aca="false">'All Cars'!AC77</f>
        <v>No</v>
      </c>
      <c r="T33" s="35" t="str">
        <f aca="false">'All Cars'!AB77</f>
        <v>Yes</v>
      </c>
      <c r="U33" s="35" t="str">
        <f aca="false">'All Cars'!M77</f>
        <v>Gasoline</v>
      </c>
      <c r="V33" s="33" t="n">
        <f aca="false">'All Cars'!N77</f>
        <v>17</v>
      </c>
      <c r="W33" s="9" t="str">
        <f aca="false">'All Cars'!AN77</f>
        <v>Gurley Leep Kia</v>
      </c>
      <c r="X33" s="9" t="str">
        <f aca="false">'All Cars'!AO77</f>
        <v>Mishawaka</v>
      </c>
      <c r="Y33" s="39" t="n">
        <f aca="false">'All Cars'!AQ77</f>
        <v>11</v>
      </c>
      <c r="Z33" s="36" t="n">
        <f aca="false">'All Cars'!AU77</f>
        <v>680.67</v>
      </c>
      <c r="AA33" s="40" t="s">
        <v>180</v>
      </c>
      <c r="AB33" s="41" t="s">
        <v>181</v>
      </c>
    </row>
    <row r="34" customFormat="false" ht="15" hidden="false" customHeight="false" outlineLevel="0" collapsed="false">
      <c r="A34" s="33" t="n">
        <f aca="false">RANK(B34,$B$5:$B$40)</f>
        <v>30</v>
      </c>
      <c r="B34" s="34" t="n">
        <f aca="false">'All Cars'!B78</f>
        <v>54.5</v>
      </c>
      <c r="C34" s="35" t="str">
        <f aca="false">'All Cars'!C78</f>
        <v>YES</v>
      </c>
      <c r="D34" s="33" t="n">
        <f aca="false">'All Cars'!D78</f>
        <v>2025</v>
      </c>
      <c r="E34" s="35" t="str">
        <f aca="false">'All Cars'!E78</f>
        <v>Honda</v>
      </c>
      <c r="F34" s="9" t="str">
        <f aca="false">'All Cars'!F78</f>
        <v>CR-V</v>
      </c>
      <c r="G34" s="9" t="str">
        <f aca="false">'All Cars'!G78</f>
        <v>EX</v>
      </c>
      <c r="H34" s="36" t="n">
        <f aca="false">'All Cars'!H78</f>
        <v>30814</v>
      </c>
      <c r="I34" s="37" t="n">
        <f aca="false">'All Cars'!I78</f>
        <v>38801</v>
      </c>
      <c r="J34" s="37" t="n">
        <f aca="false">'All Cars'!J78</f>
        <v>38801</v>
      </c>
      <c r="K34" s="35" t="str">
        <f aca="false">'All Cars'!K78</f>
        <v>No</v>
      </c>
      <c r="L34" s="35" t="str">
        <f aca="false">'All Cars'!O78</f>
        <v>GREAT</v>
      </c>
      <c r="M34" s="38" t="n">
        <f aca="false">'All Cars'!Q78</f>
        <v>0.076</v>
      </c>
      <c r="N34" s="35" t="str">
        <f aca="false">'All Cars'!R78</f>
        <v>GREAT</v>
      </c>
      <c r="O34" s="33" t="n">
        <f aca="false">'All Cars'!U78</f>
        <v>1</v>
      </c>
      <c r="P34" s="33" t="n">
        <f aca="false">'All Cars'!W78</f>
        <v>7</v>
      </c>
      <c r="Q34" s="35" t="str">
        <f aca="false">'All Cars'!AA78</f>
        <v>Yes</v>
      </c>
      <c r="R34" s="35" t="str">
        <f aca="false">'All Cars'!AD78</f>
        <v>No</v>
      </c>
      <c r="S34" s="35" t="str">
        <f aca="false">'All Cars'!AC78</f>
        <v>No</v>
      </c>
      <c r="T34" s="35" t="str">
        <f aca="false">'All Cars'!AB78</f>
        <v>Yes</v>
      </c>
      <c r="U34" s="35" t="str">
        <f aca="false">'All Cars'!M78</f>
        <v>Gasoline</v>
      </c>
      <c r="V34" s="33" t="n">
        <f aca="false">'All Cars'!N78</f>
        <v>28</v>
      </c>
      <c r="W34" s="9" t="str">
        <f aca="false">'All Cars'!AN78</f>
        <v>Zeigler GMC of Holland</v>
      </c>
      <c r="X34" s="9" t="str">
        <f aca="false">'All Cars'!AO78</f>
        <v>Holland</v>
      </c>
      <c r="Y34" s="39" t="n">
        <f aca="false">'All Cars'!AQ78</f>
        <v>74.5</v>
      </c>
      <c r="Z34" s="36" t="n">
        <f aca="false">'All Cars'!AU78</f>
        <v>550.45</v>
      </c>
      <c r="AA34" s="40" t="s">
        <v>136</v>
      </c>
      <c r="AB34" s="41" t="s">
        <v>182</v>
      </c>
    </row>
    <row r="35" customFormat="false" ht="15" hidden="false" customHeight="false" outlineLevel="0" collapsed="false">
      <c r="A35" s="33" t="n">
        <f aca="false">RANK(B35,$B$5:$B$40)</f>
        <v>31</v>
      </c>
      <c r="B35" s="34" t="n">
        <f aca="false">'All Cars'!B83</f>
        <v>54.3</v>
      </c>
      <c r="C35" s="35" t="str">
        <f aca="false">'All Cars'!C83</f>
        <v>YES</v>
      </c>
      <c r="D35" s="33" t="n">
        <f aca="false">'All Cars'!D83</f>
        <v>2022</v>
      </c>
      <c r="E35" s="35" t="str">
        <f aca="false">'All Cars'!E83</f>
        <v>Honda</v>
      </c>
      <c r="F35" s="9" t="str">
        <f aca="false">'All Cars'!F83</f>
        <v>CR-V</v>
      </c>
      <c r="G35" s="9" t="str">
        <f aca="false">'All Cars'!G83</f>
        <v>EXL</v>
      </c>
      <c r="H35" s="36" t="n">
        <f aca="false">'All Cars'!H83</f>
        <v>28212</v>
      </c>
      <c r="I35" s="37" t="n">
        <f aca="false">'All Cars'!I83</f>
        <v>54671</v>
      </c>
      <c r="J35" s="37" t="n">
        <f aca="false">'All Cars'!J83</f>
        <v>13668</v>
      </c>
      <c r="K35" s="35" t="str">
        <f aca="false">'All Cars'!K83</f>
        <v>No</v>
      </c>
      <c r="L35" s="35" t="str">
        <f aca="false">'All Cars'!O83</f>
        <v>GOOD</v>
      </c>
      <c r="M35" s="38" t="n">
        <f aca="false">'All Cars'!Q83</f>
        <v>0.022</v>
      </c>
      <c r="N35" s="35" t="str">
        <f aca="false">'All Cars'!R83</f>
        <v>GOOD</v>
      </c>
      <c r="O35" s="33" t="n">
        <f aca="false">'All Cars'!U83</f>
        <v>2</v>
      </c>
      <c r="P35" s="33" t="n">
        <f aca="false">'All Cars'!W83</f>
        <v>17</v>
      </c>
      <c r="Q35" s="35" t="str">
        <f aca="false">'All Cars'!AA83</f>
        <v>Yes</v>
      </c>
      <c r="R35" s="35" t="str">
        <f aca="false">'All Cars'!AD83</f>
        <v>Yes</v>
      </c>
      <c r="S35" s="35" t="str">
        <f aca="false">'All Cars'!AC83</f>
        <v>Yes</v>
      </c>
      <c r="T35" s="35" t="str">
        <f aca="false">'All Cars'!AB83</f>
        <v>Yes</v>
      </c>
      <c r="U35" s="35" t="str">
        <f aca="false">'All Cars'!M83</f>
        <v>Hybrid</v>
      </c>
      <c r="V35" s="33" t="n">
        <f aca="false">'All Cars'!N83</f>
        <v>38</v>
      </c>
      <c r="W35" s="9" t="str">
        <f aca="false">'All Cars'!AN83</f>
        <v>Gurley Leep Kia</v>
      </c>
      <c r="X35" s="9" t="str">
        <f aca="false">'All Cars'!AO83</f>
        <v>Mishawaka</v>
      </c>
      <c r="Y35" s="39" t="n">
        <f aca="false">'All Cars'!AQ83</f>
        <v>11</v>
      </c>
      <c r="Z35" s="36" t="n">
        <f aca="false">'All Cars'!AU83</f>
        <v>503.97</v>
      </c>
      <c r="AA35" s="40" t="s">
        <v>171</v>
      </c>
      <c r="AB35" s="41" t="s">
        <v>183</v>
      </c>
    </row>
    <row r="36" customFormat="false" ht="15" hidden="false" customHeight="false" outlineLevel="0" collapsed="false">
      <c r="A36" s="33" t="n">
        <f aca="false">RANK(B36,$B$5:$B$40)</f>
        <v>32</v>
      </c>
      <c r="B36" s="34" t="n">
        <f aca="false">'All Cars'!B87</f>
        <v>53.9</v>
      </c>
      <c r="C36" s="35" t="str">
        <f aca="false">'All Cars'!C87</f>
        <v>YES</v>
      </c>
      <c r="D36" s="33" t="n">
        <f aca="false">'All Cars'!D87</f>
        <v>2024</v>
      </c>
      <c r="E36" s="35" t="str">
        <f aca="false">'All Cars'!E87</f>
        <v>Subaru</v>
      </c>
      <c r="F36" s="9" t="str">
        <f aca="false">'All Cars'!F87</f>
        <v>Outback</v>
      </c>
      <c r="G36" s="9" t="str">
        <f aca="false">'All Cars'!G87</f>
        <v>Premium</v>
      </c>
      <c r="H36" s="36" t="n">
        <f aca="false">'All Cars'!H87</f>
        <v>25059</v>
      </c>
      <c r="I36" s="37" t="n">
        <f aca="false">'All Cars'!I87</f>
        <v>33775</v>
      </c>
      <c r="J36" s="37" t="n">
        <f aca="false">'All Cars'!J87</f>
        <v>16888</v>
      </c>
      <c r="K36" s="35" t="str">
        <f aca="false">'All Cars'!K87</f>
        <v>No</v>
      </c>
      <c r="L36" s="35" t="str">
        <f aca="false">'All Cars'!O87</f>
        <v>GREAT</v>
      </c>
      <c r="M36" s="38" t="n">
        <f aca="false">'All Cars'!Q87</f>
        <v>0.141</v>
      </c>
      <c r="N36" s="35" t="str">
        <f aca="false">'All Cars'!R87</f>
        <v>GOOD</v>
      </c>
      <c r="O36" s="33" t="n">
        <f aca="false">'All Cars'!U87</f>
        <v>1</v>
      </c>
      <c r="P36" s="33" t="n">
        <f aca="false">'All Cars'!W87</f>
        <v>4</v>
      </c>
      <c r="Q36" s="35" t="str">
        <f aca="false">'All Cars'!AA87</f>
        <v>Yes</v>
      </c>
      <c r="R36" s="35" t="str">
        <f aca="false">'All Cars'!AD87</f>
        <v>Yes</v>
      </c>
      <c r="S36" s="35" t="str">
        <f aca="false">'All Cars'!AC87</f>
        <v>No</v>
      </c>
      <c r="T36" s="35" t="str">
        <f aca="false">'All Cars'!AB87</f>
        <v>Yes</v>
      </c>
      <c r="U36" s="35" t="str">
        <f aca="false">'All Cars'!M87</f>
        <v>Gasoline</v>
      </c>
      <c r="V36" s="33" t="n">
        <f aca="false">'All Cars'!N87</f>
        <v>28</v>
      </c>
      <c r="W36" s="9" t="str">
        <f aca="false">'All Cars'!AN87</f>
        <v>Chevrolet of Merrillville</v>
      </c>
      <c r="X36" s="9" t="str">
        <f aca="false">'All Cars'!AO87</f>
        <v>Merrillville</v>
      </c>
      <c r="Y36" s="39" t="n">
        <f aca="false">'All Cars'!AQ87</f>
        <v>71.2</v>
      </c>
      <c r="Z36" s="36" t="n">
        <f aca="false">'All Cars'!AU87</f>
        <v>447.64</v>
      </c>
      <c r="AA36" s="40" t="s">
        <v>184</v>
      </c>
      <c r="AB36" s="41" t="s">
        <v>185</v>
      </c>
    </row>
    <row r="37" customFormat="false" ht="15" hidden="false" customHeight="false" outlineLevel="0" collapsed="false">
      <c r="A37" s="33" t="n">
        <f aca="false">RANK(B37,$B$5:$B$40)</f>
        <v>33</v>
      </c>
      <c r="B37" s="34" t="n">
        <f aca="false">'All Cars'!B93</f>
        <v>53.1</v>
      </c>
      <c r="C37" s="35" t="str">
        <f aca="false">'All Cars'!C93</f>
        <v>YES</v>
      </c>
      <c r="D37" s="33" t="n">
        <f aca="false">'All Cars'!D93</f>
        <v>2024</v>
      </c>
      <c r="E37" s="35" t="str">
        <f aca="false">'All Cars'!E93</f>
        <v>Subaru</v>
      </c>
      <c r="F37" s="9" t="str">
        <f aca="false">'All Cars'!F93</f>
        <v>Outback</v>
      </c>
      <c r="G37" s="9" t="str">
        <f aca="false">'All Cars'!G93</f>
        <v>Onyx Edition</v>
      </c>
      <c r="H37" s="36" t="n">
        <f aca="false">'All Cars'!H93</f>
        <v>29314</v>
      </c>
      <c r="I37" s="37" t="n">
        <f aca="false">'All Cars'!I93</f>
        <v>37948</v>
      </c>
      <c r="J37" s="37" t="n">
        <f aca="false">'All Cars'!J93</f>
        <v>18974</v>
      </c>
      <c r="K37" s="35" t="str">
        <f aca="false">'All Cars'!K93</f>
        <v>No</v>
      </c>
      <c r="L37" s="35" t="str">
        <f aca="false">'All Cars'!O93</f>
        <v>GOOD</v>
      </c>
      <c r="M37" s="38" t="n">
        <f aca="false">'All Cars'!Q93</f>
        <v>-0.021</v>
      </c>
      <c r="N37" s="35" t="str">
        <f aca="false">'All Cars'!R93</f>
        <v>GREAT</v>
      </c>
      <c r="O37" s="33" t="n">
        <f aca="false">'All Cars'!U93</f>
        <v>1</v>
      </c>
      <c r="P37" s="33" t="n">
        <f aca="false">'All Cars'!W93</f>
        <v>11</v>
      </c>
      <c r="Q37" s="35" t="str">
        <f aca="false">'All Cars'!AA93</f>
        <v>Yes</v>
      </c>
      <c r="R37" s="35" t="str">
        <f aca="false">'All Cars'!AD93</f>
        <v>Yes</v>
      </c>
      <c r="S37" s="35" t="str">
        <f aca="false">'All Cars'!AC93</f>
        <v>Yes</v>
      </c>
      <c r="T37" s="35" t="str">
        <f aca="false">'All Cars'!AB93</f>
        <v>Yes</v>
      </c>
      <c r="U37" s="35" t="str">
        <f aca="false">'All Cars'!M93</f>
        <v>Gasoline</v>
      </c>
      <c r="V37" s="33" t="n">
        <f aca="false">'All Cars'!N93</f>
        <v>28</v>
      </c>
      <c r="W37" s="9" t="str">
        <f aca="false">'All Cars'!AN93</f>
        <v>Zeigler GMC of Holland</v>
      </c>
      <c r="X37" s="9" t="str">
        <f aca="false">'All Cars'!AO93</f>
        <v>Holland</v>
      </c>
      <c r="Y37" s="39" t="n">
        <f aca="false">'All Cars'!AQ93</f>
        <v>74.5</v>
      </c>
      <c r="Z37" s="36" t="n">
        <f aca="false">'All Cars'!AU93</f>
        <v>523.65</v>
      </c>
      <c r="AA37" s="40" t="s">
        <v>186</v>
      </c>
      <c r="AB37" s="41" t="s">
        <v>187</v>
      </c>
    </row>
    <row r="38" customFormat="false" ht="15" hidden="false" customHeight="false" outlineLevel="0" collapsed="false">
      <c r="A38" s="33" t="n">
        <f aca="false">RANK(B38,$B$5:$B$40)</f>
        <v>34</v>
      </c>
      <c r="B38" s="34" t="n">
        <f aca="false">'All Cars'!B100</f>
        <v>52.6</v>
      </c>
      <c r="C38" s="35" t="str">
        <f aca="false">'All Cars'!C100</f>
        <v>YES</v>
      </c>
      <c r="D38" s="33" t="n">
        <f aca="false">'All Cars'!D100</f>
        <v>2024</v>
      </c>
      <c r="E38" s="35" t="str">
        <f aca="false">'All Cars'!E100</f>
        <v>Honda</v>
      </c>
      <c r="F38" s="9" t="str">
        <f aca="false">'All Cars'!F100</f>
        <v>CR-V</v>
      </c>
      <c r="G38" s="9" t="str">
        <f aca="false">'All Cars'!G100</f>
        <v>Sport-L</v>
      </c>
      <c r="H38" s="36" t="n">
        <f aca="false">'All Cars'!H100</f>
        <v>34238</v>
      </c>
      <c r="I38" s="37" t="n">
        <f aca="false">'All Cars'!I100</f>
        <v>39309</v>
      </c>
      <c r="J38" s="37" t="n">
        <f aca="false">'All Cars'!J100</f>
        <v>19655</v>
      </c>
      <c r="K38" s="35" t="str">
        <f aca="false">'All Cars'!K100</f>
        <v>No</v>
      </c>
      <c r="L38" s="35" t="str">
        <f aca="false">'All Cars'!O100</f>
        <v>GOOD</v>
      </c>
      <c r="M38" s="38" t="n">
        <f aca="false">'All Cars'!Q100</f>
        <v>-0.064</v>
      </c>
      <c r="N38" s="35" t="str">
        <f aca="false">'All Cars'!R100</f>
        <v>GREAT</v>
      </c>
      <c r="O38" s="33" t="n">
        <f aca="false">'All Cars'!U100</f>
        <v>1</v>
      </c>
      <c r="P38" s="33" t="n">
        <f aca="false">'All Cars'!W100</f>
        <v>5</v>
      </c>
      <c r="Q38" s="35" t="str">
        <f aca="false">'All Cars'!AA100</f>
        <v>Yes</v>
      </c>
      <c r="R38" s="35" t="str">
        <f aca="false">'All Cars'!AD100</f>
        <v>Yes</v>
      </c>
      <c r="S38" s="35" t="str">
        <f aca="false">'All Cars'!AC100</f>
        <v>Yes</v>
      </c>
      <c r="T38" s="35" t="str">
        <f aca="false">'All Cars'!AB100</f>
        <v>Yes</v>
      </c>
      <c r="U38" s="35" t="str">
        <f aca="false">'All Cars'!M100</f>
        <v>Hybrid</v>
      </c>
      <c r="V38" s="33" t="n">
        <f aca="false">'All Cars'!N100</f>
        <v>37</v>
      </c>
      <c r="W38" s="9" t="str">
        <f aca="false">'All Cars'!AN100</f>
        <v>Victory Honda Michigan City</v>
      </c>
      <c r="X38" s="9" t="str">
        <f aca="false">'All Cars'!AO100</f>
        <v>MICHIGAN CITY</v>
      </c>
      <c r="Y38" s="39" t="n">
        <f aca="false">'All Cars'!AQ100</f>
        <v>46.9</v>
      </c>
      <c r="Z38" s="36" t="n">
        <f aca="false">'All Cars'!AU100</f>
        <v>611.61</v>
      </c>
      <c r="AA38" s="40" t="s">
        <v>151</v>
      </c>
      <c r="AB38" s="41" t="s">
        <v>188</v>
      </c>
    </row>
    <row r="39" customFormat="false" ht="15" hidden="false" customHeight="false" outlineLevel="0" collapsed="false">
      <c r="A39" s="33" t="n">
        <f aca="false">RANK(B39,$B$5:$B$40)</f>
        <v>35</v>
      </c>
      <c r="B39" s="34" t="n">
        <f aca="false">'All Cars'!B144</f>
        <v>48.7</v>
      </c>
      <c r="C39" s="35" t="str">
        <f aca="false">'All Cars'!C144</f>
        <v>YES</v>
      </c>
      <c r="D39" s="33" t="n">
        <f aca="false">'All Cars'!D144</f>
        <v>2023</v>
      </c>
      <c r="E39" s="35" t="str">
        <f aca="false">'All Cars'!E144</f>
        <v>Subaru</v>
      </c>
      <c r="F39" s="9" t="str">
        <f aca="false">'All Cars'!F144</f>
        <v>Outback</v>
      </c>
      <c r="G39" s="9" t="str">
        <f aca="false">'All Cars'!G144</f>
        <v>Premium</v>
      </c>
      <c r="H39" s="36" t="n">
        <f aca="false">'All Cars'!H144</f>
        <v>25814</v>
      </c>
      <c r="I39" s="37" t="n">
        <f aca="false">'All Cars'!I144</f>
        <v>36225</v>
      </c>
      <c r="J39" s="37" t="n">
        <f aca="false">'All Cars'!J144</f>
        <v>12075</v>
      </c>
      <c r="K39" s="35" t="str">
        <f aca="false">'All Cars'!K144</f>
        <v>No</v>
      </c>
      <c r="L39" s="35" t="str">
        <f aca="false">'All Cars'!O144</f>
        <v>GOOD</v>
      </c>
      <c r="M39" s="38" t="n">
        <f aca="false">'All Cars'!Q144</f>
        <v>0.052</v>
      </c>
      <c r="N39" s="35" t="str">
        <f aca="false">'All Cars'!R144</f>
        <v>GOOD</v>
      </c>
      <c r="O39" s="33" t="n">
        <f aca="false">'All Cars'!U144</f>
        <v>1</v>
      </c>
      <c r="P39" s="33" t="n">
        <f aca="false">'All Cars'!W144</f>
        <v>11</v>
      </c>
      <c r="Q39" s="35" t="str">
        <f aca="false">'All Cars'!AA144</f>
        <v>No</v>
      </c>
      <c r="R39" s="35" t="str">
        <f aca="false">'All Cars'!AD144</f>
        <v>Yes</v>
      </c>
      <c r="S39" s="35" t="str">
        <f aca="false">'All Cars'!AC144</f>
        <v>Yes</v>
      </c>
      <c r="T39" s="35" t="str">
        <f aca="false">'All Cars'!AB144</f>
        <v>Yes</v>
      </c>
      <c r="U39" s="35" t="str">
        <f aca="false">'All Cars'!M144</f>
        <v>Gasoline</v>
      </c>
      <c r="V39" s="33" t="n">
        <f aca="false">'All Cars'!N144</f>
        <v>28</v>
      </c>
      <c r="W39" s="9" t="str">
        <f aca="false">'All Cars'!AN144</f>
        <v>Zeigler GMC of Holland</v>
      </c>
      <c r="X39" s="9" t="str">
        <f aca="false">'All Cars'!AO144</f>
        <v>Holland</v>
      </c>
      <c r="Y39" s="39" t="n">
        <f aca="false">'All Cars'!AQ144</f>
        <v>74.5</v>
      </c>
      <c r="Z39" s="36" t="n">
        <f aca="false">'All Cars'!AU144</f>
        <v>461.13</v>
      </c>
      <c r="AA39" s="40" t="s">
        <v>189</v>
      </c>
      <c r="AB39" s="41" t="s">
        <v>190</v>
      </c>
    </row>
    <row r="40" customFormat="false" ht="15" hidden="false" customHeight="false" outlineLevel="0" collapsed="false">
      <c r="A40" s="33" t="n">
        <f aca="false">RANK(B40,$B$5:$B$40)</f>
        <v>36</v>
      </c>
      <c r="B40" s="34" t="n">
        <f aca="false">'All Cars'!B158</f>
        <v>47.1</v>
      </c>
      <c r="C40" s="35" t="str">
        <f aca="false">'All Cars'!C158</f>
        <v>YES</v>
      </c>
      <c r="D40" s="33" t="n">
        <f aca="false">'All Cars'!D158</f>
        <v>2024</v>
      </c>
      <c r="E40" s="35" t="str">
        <f aca="false">'All Cars'!E158</f>
        <v>Subaru</v>
      </c>
      <c r="F40" s="9" t="str">
        <f aca="false">'All Cars'!F158</f>
        <v>Outback</v>
      </c>
      <c r="G40" s="9" t="str">
        <f aca="false">'All Cars'!G158</f>
        <v>Premium</v>
      </c>
      <c r="H40" s="36" t="n">
        <f aca="false">'All Cars'!H158</f>
        <v>26314</v>
      </c>
      <c r="I40" s="37" t="n">
        <f aca="false">'All Cars'!I158</f>
        <v>39922</v>
      </c>
      <c r="J40" s="37" t="n">
        <f aca="false">'All Cars'!J158</f>
        <v>19961</v>
      </c>
      <c r="K40" s="35" t="str">
        <f aca="false">'All Cars'!K158</f>
        <v>No</v>
      </c>
      <c r="L40" s="35" t="str">
        <f aca="false">'All Cars'!O158</f>
        <v>GOOD</v>
      </c>
      <c r="M40" s="38" t="n">
        <f aca="false">'All Cars'!Q158</f>
        <v>0.077</v>
      </c>
      <c r="N40" s="35" t="str">
        <f aca="false">'All Cars'!R158</f>
        <v>GOOD</v>
      </c>
      <c r="O40" s="33" t="n">
        <f aca="false">'All Cars'!U158</f>
        <v>3</v>
      </c>
      <c r="P40" s="33" t="n">
        <f aca="false">'All Cars'!W158</f>
        <v>11</v>
      </c>
      <c r="Q40" s="35" t="str">
        <f aca="false">'All Cars'!AA158</f>
        <v>Yes</v>
      </c>
      <c r="R40" s="35" t="str">
        <f aca="false">'All Cars'!AD158</f>
        <v>Yes</v>
      </c>
      <c r="S40" s="35" t="str">
        <f aca="false">'All Cars'!AC158</f>
        <v>Yes</v>
      </c>
      <c r="T40" s="35" t="str">
        <f aca="false">'All Cars'!AB158</f>
        <v>Yes</v>
      </c>
      <c r="U40" s="35" t="str">
        <f aca="false">'All Cars'!M158</f>
        <v>Gasoline</v>
      </c>
      <c r="V40" s="33" t="n">
        <f aca="false">'All Cars'!N158</f>
        <v>28</v>
      </c>
      <c r="W40" s="9" t="str">
        <f aca="false">'All Cars'!AN158</f>
        <v>Zeigler GMC of Holland</v>
      </c>
      <c r="X40" s="9" t="str">
        <f aca="false">'All Cars'!AO158</f>
        <v>Holland</v>
      </c>
      <c r="Y40" s="39" t="n">
        <f aca="false">'All Cars'!AQ158</f>
        <v>74.5</v>
      </c>
      <c r="Z40" s="36" t="n">
        <f aca="false">'All Cars'!AU158</f>
        <v>470.06</v>
      </c>
      <c r="AA40" s="40" t="s">
        <v>184</v>
      </c>
      <c r="AB40" s="41" t="s">
        <v>191</v>
      </c>
    </row>
    <row r="42" customFormat="false" ht="15" hidden="false" customHeight="false" outlineLevel="0" collapsed="false">
      <c r="A42" s="27" t="s">
        <v>192</v>
      </c>
    </row>
  </sheetData>
  <autoFilter ref="A4:AB40"/>
  <conditionalFormatting sqref="B5:B40">
    <cfRule type="colorScale" priority="2">
      <colorScale>
        <cfvo type="min" val="0"/>
        <cfvo type="percentile" val="50"/>
        <cfvo type="max" val="0"/>
        <color rgb="FFF8696B"/>
        <color rgb="FFFFEB84"/>
        <color rgb="FF63BE7B"/>
      </colorScale>
    </cfRule>
  </conditionalFormatting>
  <conditionalFormatting sqref="K5:K40">
    <cfRule type="cellIs" priority="3" operator="equal" aboveAverage="0" equalAverage="0" bottom="0" percent="0" rank="0" text="" dxfId="42">
      <formula>"Yes"</formula>
    </cfRule>
  </conditionalFormatting>
  <conditionalFormatting sqref="C5:C40">
    <cfRule type="cellIs" priority="4" operator="equal" aboveAverage="0" equalAverage="0" bottom="0" percent="0" rank="0" text="" dxfId="43">
      <formula>"no"</formula>
    </cfRule>
  </conditionalFormatting>
  <hyperlinks>
    <hyperlink ref="AA5" r:id="rId1" display="2026 Honda CR-V EXL"/>
    <hyperlink ref="AA6" r:id="rId2" display="2025 Honda CR-V EX"/>
    <hyperlink ref="AA7" r:id="rId3" display="2025 Subaru Outback Limited"/>
    <hyperlink ref="AA8" r:id="rId4" display="2024 Honda CR-V Sport"/>
    <hyperlink ref="AA9" r:id="rId5" display="2026 Honda CR-V TrailSport"/>
    <hyperlink ref="AA10" r:id="rId6" display="2023 Honda CR-V Sport Touring"/>
    <hyperlink ref="AA11" r:id="rId7" display="2025 Honda CR-V EX"/>
    <hyperlink ref="AA12" r:id="rId8" display="2025 Honda CR-V Sport-L"/>
    <hyperlink ref="AA13" r:id="rId9" display="2024 Toyota RAV4 Limited Edition"/>
    <hyperlink ref="AA14" r:id="rId10" display="2024 Honda CR-V Sport-L"/>
    <hyperlink ref="AA15" r:id="rId11" display="2023 Honda CR-V EXL"/>
    <hyperlink ref="AA16" r:id="rId12" display="2024 Honda CR-V Sport Touring"/>
    <hyperlink ref="AA17" r:id="rId13" display="2024 Honda CR-V Sport-L"/>
    <hyperlink ref="AA18" r:id="rId14" display="2025 Toyota RAV4 XLE"/>
    <hyperlink ref="AA19" r:id="rId15" display="2025 Toyota RAV4 XLE"/>
    <hyperlink ref="AA20" r:id="rId16" display="2025 Subaru Outback Onyx Edition"/>
    <hyperlink ref="AA21" r:id="rId17" display="2025 Honda CR-V Sport-L"/>
    <hyperlink ref="AA22" r:id="rId18" display="2025 Subaru Outback Onyx Edition"/>
    <hyperlink ref="AA23" r:id="rId19" display="2025 Toyota RAV4 XLE Premium"/>
    <hyperlink ref="AA24" r:id="rId20" display="2024 Honda CR-V Sport"/>
    <hyperlink ref="AA25" r:id="rId21" display="2025 Honda CR-V Sport-L"/>
    <hyperlink ref="AA26" r:id="rId22" display="2024 Subaru Outback Limited XT"/>
    <hyperlink ref="AA27" r:id="rId23" display="2022 Honda CR-V EXL"/>
    <hyperlink ref="AA28" r:id="rId24" display="2025 Honda CR-V Sport-L"/>
    <hyperlink ref="AA29" r:id="rId25" display="2025 Honda HR-V Sport"/>
    <hyperlink ref="AA30" r:id="rId26" display="2025 Toyota RAV4 XLE"/>
    <hyperlink ref="AA31" r:id="rId27" display="2023 Honda CR-V EX"/>
    <hyperlink ref="AA32" r:id="rId28" display="2025 Honda CR-V EX"/>
    <hyperlink ref="AA33" r:id="rId29" display="2022 Toyota 4Runner TRD Off Road Premium"/>
    <hyperlink ref="AA34" r:id="rId30" display="2025 Honda CR-V EX"/>
    <hyperlink ref="AA35" r:id="rId31" display="2022 Honda CR-V EXL"/>
    <hyperlink ref="AA36" r:id="rId32" display="2024 Subaru Outback Premium"/>
    <hyperlink ref="AA37" r:id="rId33" display="2024 Subaru Outback Onyx Edition"/>
    <hyperlink ref="AA38" r:id="rId34" display="2024 Honda CR-V Sport-L"/>
    <hyperlink ref="AA39" r:id="rId35" display="2023 Subaru Outback Premium"/>
    <hyperlink ref="AA40" r:id="rId36" display="2024 Subaru Outback Premiu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11" min="2" style="0" width="19"/>
  </cols>
  <sheetData>
    <row r="1" customFormat="false" ht="19.7" hidden="false" customHeight="false" outlineLevel="0" collapsed="false">
      <c r="A1" s="1" t="s">
        <v>193</v>
      </c>
    </row>
    <row r="2" customFormat="false" ht="15" hidden="false" customHeight="false" outlineLevel="0" collapsed="false">
      <c r="A2" s="19" t="s">
        <v>194</v>
      </c>
    </row>
    <row r="4" customFormat="false" ht="45.75" hidden="false" customHeight="true" outlineLevel="0" collapsed="false">
      <c r="A4" s="20" t="s">
        <v>195</v>
      </c>
      <c r="B4" s="20" t="s">
        <v>196</v>
      </c>
      <c r="C4" s="20" t="s">
        <v>197</v>
      </c>
      <c r="D4" s="20" t="s">
        <v>198</v>
      </c>
      <c r="E4" s="20" t="s">
        <v>199</v>
      </c>
      <c r="F4" s="20" t="s">
        <v>200</v>
      </c>
      <c r="G4" s="20" t="s">
        <v>201</v>
      </c>
      <c r="H4" s="20" t="s">
        <v>202</v>
      </c>
      <c r="I4" s="20" t="s">
        <v>203</v>
      </c>
      <c r="J4" s="20" t="s">
        <v>204</v>
      </c>
      <c r="K4" s="20" t="s">
        <v>205</v>
      </c>
    </row>
    <row r="5" customFormat="false" ht="15" hidden="false" customHeight="false" outlineLevel="0" collapsed="false">
      <c r="A5" s="42" t="s">
        <v>109</v>
      </c>
      <c r="B5" s="39" t="n">
        <f aca="false">'All Cars'!B5</f>
        <v>84</v>
      </c>
      <c r="C5" s="39" t="n">
        <f aca="false">'All Cars'!B6</f>
        <v>72.4</v>
      </c>
      <c r="D5" s="39" t="n">
        <f aca="false">'All Cars'!B9</f>
        <v>70</v>
      </c>
      <c r="E5" s="39" t="n">
        <f aca="false">'All Cars'!B12</f>
        <v>69</v>
      </c>
      <c r="F5" s="39" t="n">
        <f aca="false">'All Cars'!B13</f>
        <v>68.1</v>
      </c>
      <c r="G5" s="39" t="n">
        <f aca="false">'All Cars'!B17</f>
        <v>66.6</v>
      </c>
      <c r="H5" s="39" t="n">
        <f aca="false">'All Cars'!B18</f>
        <v>66.5</v>
      </c>
      <c r="I5" s="39" t="n">
        <f aca="false">'All Cars'!B19</f>
        <v>66.1</v>
      </c>
      <c r="J5" s="39" t="n">
        <f aca="false">'All Cars'!B22</f>
        <v>64.6</v>
      </c>
      <c r="K5" s="39" t="n">
        <f aca="false">'All Cars'!B23</f>
        <v>64.5</v>
      </c>
    </row>
    <row r="6" customFormat="false" ht="15" hidden="false" customHeight="false" outlineLevel="0" collapsed="false">
      <c r="A6" s="42" t="s">
        <v>111</v>
      </c>
      <c r="B6" s="33" t="n">
        <f aca="false">'All Cars'!D5</f>
        <v>2026</v>
      </c>
      <c r="C6" s="33" t="n">
        <f aca="false">'All Cars'!D6</f>
        <v>2025</v>
      </c>
      <c r="D6" s="33" t="n">
        <f aca="false">'All Cars'!D9</f>
        <v>2025</v>
      </c>
      <c r="E6" s="33" t="n">
        <f aca="false">'All Cars'!D12</f>
        <v>2024</v>
      </c>
      <c r="F6" s="33" t="n">
        <f aca="false">'All Cars'!D13</f>
        <v>2026</v>
      </c>
      <c r="G6" s="33" t="n">
        <f aca="false">'All Cars'!D17</f>
        <v>2023</v>
      </c>
      <c r="H6" s="33" t="n">
        <f aca="false">'All Cars'!D18</f>
        <v>2025</v>
      </c>
      <c r="I6" s="33" t="n">
        <f aca="false">'All Cars'!D19</f>
        <v>2025</v>
      </c>
      <c r="J6" s="33" t="n">
        <f aca="false">'All Cars'!D22</f>
        <v>2024</v>
      </c>
      <c r="K6" s="33" t="n">
        <f aca="false">'All Cars'!D23</f>
        <v>2024</v>
      </c>
    </row>
    <row r="7" customFormat="false" ht="15" hidden="false" customHeight="false" outlineLevel="0" collapsed="false">
      <c r="A7" s="42" t="s">
        <v>90</v>
      </c>
      <c r="B7" s="35" t="str">
        <f aca="false">'All Cars'!E5</f>
        <v>Honda</v>
      </c>
      <c r="C7" s="35" t="str">
        <f aca="false">'All Cars'!E6</f>
        <v>Honda</v>
      </c>
      <c r="D7" s="35" t="str">
        <f aca="false">'All Cars'!E9</f>
        <v>Subaru</v>
      </c>
      <c r="E7" s="35" t="str">
        <f aca="false">'All Cars'!E12</f>
        <v>Honda</v>
      </c>
      <c r="F7" s="35" t="str">
        <f aca="false">'All Cars'!E13</f>
        <v>Honda</v>
      </c>
      <c r="G7" s="35" t="str">
        <f aca="false">'All Cars'!E17</f>
        <v>Honda</v>
      </c>
      <c r="H7" s="35" t="str">
        <f aca="false">'All Cars'!E18</f>
        <v>Honda</v>
      </c>
      <c r="I7" s="35" t="str">
        <f aca="false">'All Cars'!E19</f>
        <v>Honda</v>
      </c>
      <c r="J7" s="35" t="str">
        <f aca="false">'All Cars'!E22</f>
        <v>Toyota</v>
      </c>
      <c r="K7" s="35" t="str">
        <f aca="false">'All Cars'!E23</f>
        <v>Honda</v>
      </c>
    </row>
    <row r="8" customFormat="false" ht="15" hidden="false" customHeight="false" outlineLevel="0" collapsed="false">
      <c r="A8" s="42" t="s">
        <v>112</v>
      </c>
      <c r="B8" s="35" t="str">
        <f aca="false">'All Cars'!F5</f>
        <v>CR-V</v>
      </c>
      <c r="C8" s="35" t="str">
        <f aca="false">'All Cars'!F6</f>
        <v>CR-V</v>
      </c>
      <c r="D8" s="35" t="str">
        <f aca="false">'All Cars'!F9</f>
        <v>Outback</v>
      </c>
      <c r="E8" s="35" t="str">
        <f aca="false">'All Cars'!F12</f>
        <v>CR-V</v>
      </c>
      <c r="F8" s="35" t="str">
        <f aca="false">'All Cars'!F13</f>
        <v>CR-V</v>
      </c>
      <c r="G8" s="35" t="str">
        <f aca="false">'All Cars'!F17</f>
        <v>CR-V</v>
      </c>
      <c r="H8" s="35" t="str">
        <f aca="false">'All Cars'!F18</f>
        <v>CR-V</v>
      </c>
      <c r="I8" s="35" t="str">
        <f aca="false">'All Cars'!F19</f>
        <v>CR-V</v>
      </c>
      <c r="J8" s="35" t="str">
        <f aca="false">'All Cars'!F22</f>
        <v>RAV4</v>
      </c>
      <c r="K8" s="35" t="str">
        <f aca="false">'All Cars'!F23</f>
        <v>CR-V</v>
      </c>
    </row>
    <row r="9" customFormat="false" ht="15" hidden="false" customHeight="false" outlineLevel="0" collapsed="false">
      <c r="A9" s="42" t="s">
        <v>113</v>
      </c>
      <c r="B9" s="35" t="str">
        <f aca="false">'All Cars'!G5</f>
        <v>EXL</v>
      </c>
      <c r="C9" s="35" t="str">
        <f aca="false">'All Cars'!G6</f>
        <v>EX</v>
      </c>
      <c r="D9" s="35" t="str">
        <f aca="false">'All Cars'!G9</f>
        <v>Limited</v>
      </c>
      <c r="E9" s="35" t="str">
        <f aca="false">'All Cars'!G12</f>
        <v>Sport</v>
      </c>
      <c r="F9" s="35" t="str">
        <f aca="false">'All Cars'!G13</f>
        <v>TrailSport</v>
      </c>
      <c r="G9" s="35" t="str">
        <f aca="false">'All Cars'!G17</f>
        <v>Sport Touring</v>
      </c>
      <c r="H9" s="35" t="str">
        <f aca="false">'All Cars'!G18</f>
        <v>EX</v>
      </c>
      <c r="I9" s="35" t="str">
        <f aca="false">'All Cars'!G19</f>
        <v>Sport-L</v>
      </c>
      <c r="J9" s="35" t="str">
        <f aca="false">'All Cars'!G22</f>
        <v>Limited Edition</v>
      </c>
      <c r="K9" s="35" t="str">
        <f aca="false">'All Cars'!G23</f>
        <v>Sport-L</v>
      </c>
    </row>
    <row r="10" customFormat="false" ht="15" hidden="false" customHeight="false" outlineLevel="0" collapsed="false">
      <c r="A10" s="42" t="s">
        <v>114</v>
      </c>
      <c r="B10" s="36" t="n">
        <f aca="false">'All Cars'!H5</f>
        <v>35415</v>
      </c>
      <c r="C10" s="36" t="n">
        <f aca="false">'All Cars'!H6</f>
        <v>32809</v>
      </c>
      <c r="D10" s="36" t="n">
        <f aca="false">'All Cars'!H9</f>
        <v>32609</v>
      </c>
      <c r="E10" s="36" t="n">
        <f aca="false">'All Cars'!H12</f>
        <v>33809</v>
      </c>
      <c r="F10" s="36" t="n">
        <f aca="false">'All Cars'!H13</f>
        <v>35913</v>
      </c>
      <c r="G10" s="36" t="n">
        <f aca="false">'All Cars'!H17</f>
        <v>32864</v>
      </c>
      <c r="H10" s="36" t="n">
        <f aca="false">'All Cars'!H18</f>
        <v>32809</v>
      </c>
      <c r="I10" s="36" t="n">
        <f aca="false">'All Cars'!H19</f>
        <v>34798</v>
      </c>
      <c r="J10" s="36" t="n">
        <f aca="false">'All Cars'!H22</f>
        <v>39338</v>
      </c>
      <c r="K10" s="36" t="n">
        <f aca="false">'All Cars'!H23</f>
        <v>35190</v>
      </c>
    </row>
    <row r="11" customFormat="false" ht="15" hidden="false" customHeight="false" outlineLevel="0" collapsed="false">
      <c r="A11" s="42" t="s">
        <v>41</v>
      </c>
      <c r="B11" s="37" t="n">
        <f aca="false">'All Cars'!I5</f>
        <v>12036</v>
      </c>
      <c r="C11" s="37" t="n">
        <f aca="false">'All Cars'!I6</f>
        <v>15682</v>
      </c>
      <c r="D11" s="37" t="n">
        <f aca="false">'All Cars'!I9</f>
        <v>31763</v>
      </c>
      <c r="E11" s="37" t="n">
        <f aca="false">'All Cars'!I12</f>
        <v>25381</v>
      </c>
      <c r="F11" s="37" t="n">
        <f aca="false">'All Cars'!I13</f>
        <v>9420</v>
      </c>
      <c r="G11" s="37" t="n">
        <f aca="false">'All Cars'!I17</f>
        <v>34991</v>
      </c>
      <c r="H11" s="37" t="n">
        <f aca="false">'All Cars'!I18</f>
        <v>23351</v>
      </c>
      <c r="I11" s="37" t="n">
        <f aca="false">'All Cars'!I19</f>
        <v>20222</v>
      </c>
      <c r="J11" s="37" t="n">
        <f aca="false">'All Cars'!I22</f>
        <v>17459</v>
      </c>
      <c r="K11" s="37" t="n">
        <f aca="false">'All Cars'!I23</f>
        <v>23100</v>
      </c>
    </row>
    <row r="12" customFormat="false" ht="15" hidden="false" customHeight="false" outlineLevel="0" collapsed="false">
      <c r="A12" s="42" t="s">
        <v>115</v>
      </c>
      <c r="B12" s="37" t="n">
        <f aca="false">'All Cars'!J5</f>
        <v>24072</v>
      </c>
      <c r="C12" s="37" t="n">
        <f aca="false">'All Cars'!J6</f>
        <v>15682</v>
      </c>
      <c r="D12" s="37" t="n">
        <f aca="false">'All Cars'!J9</f>
        <v>31763</v>
      </c>
      <c r="E12" s="37" t="n">
        <f aca="false">'All Cars'!J12</f>
        <v>12691</v>
      </c>
      <c r="F12" s="37" t="n">
        <f aca="false">'All Cars'!J13</f>
        <v>18840</v>
      </c>
      <c r="G12" s="37" t="n">
        <f aca="false">'All Cars'!J17</f>
        <v>11664</v>
      </c>
      <c r="H12" s="37" t="n">
        <f aca="false">'All Cars'!J18</f>
        <v>23351</v>
      </c>
      <c r="I12" s="37" t="n">
        <f aca="false">'All Cars'!J19</f>
        <v>20222</v>
      </c>
      <c r="J12" s="37" t="n">
        <f aca="false">'All Cars'!J22</f>
        <v>8730</v>
      </c>
      <c r="K12" s="37" t="n">
        <f aca="false">'All Cars'!J23</f>
        <v>11550</v>
      </c>
    </row>
    <row r="13" customFormat="false" ht="15" hidden="false" customHeight="false" outlineLevel="0" collapsed="false">
      <c r="A13" s="42" t="s">
        <v>131</v>
      </c>
      <c r="B13" s="36" t="n">
        <f aca="false">'All Cars'!AU5</f>
        <v>632.64</v>
      </c>
      <c r="C13" s="36" t="n">
        <f aca="false">'All Cars'!AU6</f>
        <v>586.09</v>
      </c>
      <c r="D13" s="36" t="n">
        <f aca="false">'All Cars'!AU9</f>
        <v>582.51</v>
      </c>
      <c r="E13" s="36" t="n">
        <f aca="false">'All Cars'!AU12</f>
        <v>603.95</v>
      </c>
      <c r="F13" s="36" t="n">
        <f aca="false">'All Cars'!AU13</f>
        <v>641.53</v>
      </c>
      <c r="G13" s="36" t="n">
        <f aca="false">'All Cars'!AU17</f>
        <v>587.07</v>
      </c>
      <c r="H13" s="36" t="n">
        <f aca="false">'All Cars'!AU18</f>
        <v>586.09</v>
      </c>
      <c r="I13" s="36" t="n">
        <f aca="false">'All Cars'!AU19</f>
        <v>621.62</v>
      </c>
      <c r="J13" s="36" t="n">
        <f aca="false">'All Cars'!AU22</f>
        <v>702.72</v>
      </c>
      <c r="K13" s="36" t="n">
        <f aca="false">'All Cars'!AU23</f>
        <v>628.62</v>
      </c>
    </row>
    <row r="14" customFormat="false" ht="15" hidden="false" customHeight="false" outlineLevel="0" collapsed="false">
      <c r="A14" s="42" t="s">
        <v>116</v>
      </c>
      <c r="B14" s="35" t="str">
        <f aca="false">'All Cars'!K5</f>
        <v>Yes</v>
      </c>
      <c r="C14" s="35" t="str">
        <f aca="false">'All Cars'!K6</f>
        <v>Yes</v>
      </c>
      <c r="D14" s="35" t="str">
        <f aca="false">'All Cars'!K9</f>
        <v>Yes</v>
      </c>
      <c r="E14" s="35" t="str">
        <f aca="false">'All Cars'!K12</f>
        <v>Yes</v>
      </c>
      <c r="F14" s="35" t="str">
        <f aca="false">'All Cars'!K13</f>
        <v>No</v>
      </c>
      <c r="G14" s="35" t="str">
        <f aca="false">'All Cars'!K17</f>
        <v>No</v>
      </c>
      <c r="H14" s="35" t="str">
        <f aca="false">'All Cars'!K18</f>
        <v>Yes</v>
      </c>
      <c r="I14" s="35" t="str">
        <f aca="false">'All Cars'!K19</f>
        <v>No</v>
      </c>
      <c r="J14" s="35" t="str">
        <f aca="false">'All Cars'!K22</f>
        <v>No</v>
      </c>
      <c r="K14" s="35" t="str">
        <f aca="false">'All Cars'!K23</f>
        <v>No</v>
      </c>
    </row>
    <row r="15" customFormat="false" ht="15" hidden="false" customHeight="false" outlineLevel="0" collapsed="false">
      <c r="A15" s="42" t="s">
        <v>117</v>
      </c>
      <c r="B15" s="35" t="str">
        <f aca="false">'All Cars'!O5</f>
        <v>GREAT</v>
      </c>
      <c r="C15" s="35" t="str">
        <f aca="false">'All Cars'!O6</f>
        <v>GREAT</v>
      </c>
      <c r="D15" s="35" t="str">
        <f aca="false">'All Cars'!O9</f>
        <v>GOOD</v>
      </c>
      <c r="E15" s="35" t="str">
        <f aca="false">'All Cars'!O12</f>
        <v>GOOD</v>
      </c>
      <c r="F15" s="35" t="str">
        <f aca="false">'All Cars'!O13</f>
        <v>GREAT</v>
      </c>
      <c r="G15" s="35" t="str">
        <f aca="false">'All Cars'!O17</f>
        <v>GREAT</v>
      </c>
      <c r="H15" s="35" t="str">
        <f aca="false">'All Cars'!O18</f>
        <v>GOOD</v>
      </c>
      <c r="I15" s="35" t="str">
        <f aca="false">'All Cars'!O19</f>
        <v>GREAT</v>
      </c>
      <c r="J15" s="35" t="str">
        <f aca="false">'All Cars'!O22</f>
        <v>GOOD</v>
      </c>
      <c r="K15" s="35" t="str">
        <f aca="false">'All Cars'!O23</f>
        <v>GREAT</v>
      </c>
    </row>
    <row r="16" customFormat="false" ht="15" hidden="false" customHeight="false" outlineLevel="0" collapsed="false">
      <c r="A16" s="42" t="s">
        <v>206</v>
      </c>
      <c r="B16" s="36" t="n">
        <f aca="false">'All Cars'!P5</f>
        <v>36351</v>
      </c>
      <c r="C16" s="36" t="n">
        <f aca="false">'All Cars'!P6</f>
        <v>34961</v>
      </c>
      <c r="D16" s="36" t="n">
        <f aca="false">'All Cars'!P9</f>
        <v>31035</v>
      </c>
      <c r="E16" s="36" t="n">
        <f aca="false">'All Cars'!P12</f>
        <v>33153</v>
      </c>
      <c r="F16" s="36" t="n">
        <f aca="false">'All Cars'!P13</f>
        <v>36532</v>
      </c>
      <c r="G16" s="36" t="n">
        <f aca="false">'All Cars'!P17</f>
        <v>31351</v>
      </c>
      <c r="H16" s="36" t="n">
        <f aca="false">'All Cars'!P18</f>
        <v>34432</v>
      </c>
      <c r="I16" s="36" t="n">
        <f aca="false">'All Cars'!P19</f>
        <v>34648</v>
      </c>
      <c r="J16" s="36" t="n">
        <f aca="false">'All Cars'!P22</f>
        <v>34583</v>
      </c>
      <c r="K16" s="36" t="n">
        <f aca="false">'All Cars'!P23</f>
        <v>33311</v>
      </c>
    </row>
    <row r="17" customFormat="false" ht="15" hidden="false" customHeight="false" outlineLevel="0" collapsed="false">
      <c r="A17" s="42" t="s">
        <v>118</v>
      </c>
      <c r="B17" s="38" t="n">
        <f aca="false">'All Cars'!Q5</f>
        <v>0.026</v>
      </c>
      <c r="C17" s="38" t="n">
        <f aca="false">'All Cars'!Q6</f>
        <v>0.062</v>
      </c>
      <c r="D17" s="38" t="n">
        <f aca="false">'All Cars'!Q9</f>
        <v>-0.051</v>
      </c>
      <c r="E17" s="38" t="n">
        <f aca="false">'All Cars'!Q12</f>
        <v>-0.02</v>
      </c>
      <c r="F17" s="38" t="n">
        <f aca="false">'All Cars'!Q13</f>
        <v>0.017</v>
      </c>
      <c r="G17" s="38" t="n">
        <f aca="false">'All Cars'!Q17</f>
        <v>-0.048</v>
      </c>
      <c r="H17" s="38" t="n">
        <f aca="false">'All Cars'!Q18</f>
        <v>0.047</v>
      </c>
      <c r="I17" s="38" t="n">
        <f aca="false">'All Cars'!Q19</f>
        <v>-0.004</v>
      </c>
      <c r="J17" s="38" t="n">
        <f aca="false">'All Cars'!Q22</f>
        <v>-0.137</v>
      </c>
      <c r="K17" s="38" t="n">
        <f aca="false">'All Cars'!Q23</f>
        <v>-0.056</v>
      </c>
    </row>
    <row r="18" customFormat="false" ht="15" hidden="false" customHeight="false" outlineLevel="0" collapsed="false">
      <c r="A18" s="42" t="s">
        <v>119</v>
      </c>
      <c r="B18" s="35" t="str">
        <f aca="false">'All Cars'!R5</f>
        <v>GREAT</v>
      </c>
      <c r="C18" s="35" t="str">
        <f aca="false">'All Cars'!R6</f>
        <v>GREAT</v>
      </c>
      <c r="D18" s="35" t="str">
        <f aca="false">'All Cars'!R9</f>
        <v>GREAT</v>
      </c>
      <c r="E18" s="35" t="str">
        <f aca="false">'All Cars'!R12</f>
        <v>GREAT</v>
      </c>
      <c r="F18" s="35" t="str">
        <f aca="false">'All Cars'!R13</f>
        <v>n/a</v>
      </c>
      <c r="G18" s="35" t="str">
        <f aca="false">'All Cars'!R17</f>
        <v>n/a</v>
      </c>
      <c r="H18" s="35" t="str">
        <f aca="false">'All Cars'!R18</f>
        <v>GREAT</v>
      </c>
      <c r="I18" s="35" t="str">
        <f aca="false">'All Cars'!R19</f>
        <v>n/a</v>
      </c>
      <c r="J18" s="35" t="str">
        <f aca="false">'All Cars'!R22</f>
        <v>n/a</v>
      </c>
      <c r="K18" s="35" t="str">
        <f aca="false">'All Cars'!R23</f>
        <v>n/a</v>
      </c>
    </row>
    <row r="19" customFormat="false" ht="15" hidden="false" customHeight="false" outlineLevel="0" collapsed="false">
      <c r="A19" s="42" t="s">
        <v>207</v>
      </c>
      <c r="B19" s="36" t="n">
        <f aca="false">'All Cars'!S5</f>
        <v>190</v>
      </c>
      <c r="C19" s="36" t="n">
        <f aca="false">'All Cars'!S6</f>
        <v>560</v>
      </c>
      <c r="D19" s="36" t="n">
        <f aca="false">'All Cars'!S9</f>
        <v>120</v>
      </c>
      <c r="E19" s="36" t="n">
        <f aca="false">'All Cars'!S12</f>
        <v>600</v>
      </c>
      <c r="F19" s="36" t="n">
        <f aca="false">'All Cars'!S13</f>
        <v>0</v>
      </c>
      <c r="G19" s="36" t="n">
        <f aca="false">'All Cars'!S17</f>
        <v>0</v>
      </c>
      <c r="H19" s="36" t="n">
        <f aca="false">'All Cars'!S18</f>
        <v>840</v>
      </c>
      <c r="I19" s="36" t="n">
        <f aca="false">'All Cars'!S19</f>
        <v>0</v>
      </c>
      <c r="J19" s="36" t="n">
        <f aca="false">'All Cars'!S22</f>
        <v>0</v>
      </c>
      <c r="K19" s="36" t="n">
        <f aca="false">'All Cars'!S23</f>
        <v>0</v>
      </c>
    </row>
    <row r="20" customFormat="false" ht="15" hidden="false" customHeight="false" outlineLevel="0" collapsed="false">
      <c r="A20" s="42" t="s">
        <v>208</v>
      </c>
      <c r="B20" s="35" t="str">
        <f aca="false">'All Cars'!T5</f>
        <v>Yes</v>
      </c>
      <c r="C20" s="35" t="str">
        <f aca="false">'All Cars'!T6</f>
        <v>Yes</v>
      </c>
      <c r="D20" s="35" t="str">
        <f aca="false">'All Cars'!T9</f>
        <v>Yes</v>
      </c>
      <c r="E20" s="35" t="str">
        <f aca="false">'All Cars'!T12</f>
        <v>Yes</v>
      </c>
      <c r="F20" s="35" t="str">
        <f aca="false">'All Cars'!T13</f>
        <v>Yes</v>
      </c>
      <c r="G20" s="35" t="str">
        <f aca="false">'All Cars'!T17</f>
        <v>Yes</v>
      </c>
      <c r="H20" s="35" t="str">
        <f aca="false">'All Cars'!T18</f>
        <v>Yes</v>
      </c>
      <c r="I20" s="35" t="str">
        <f aca="false">'All Cars'!T19</f>
        <v>Yes</v>
      </c>
      <c r="J20" s="35" t="str">
        <f aca="false">'All Cars'!T22</f>
        <v>Yes</v>
      </c>
      <c r="K20" s="35" t="str">
        <f aca="false">'All Cars'!T23</f>
        <v>Yes</v>
      </c>
    </row>
    <row r="21" customFormat="false" ht="15" hidden="false" customHeight="false" outlineLevel="0" collapsed="false">
      <c r="A21" s="42" t="s">
        <v>120</v>
      </c>
      <c r="B21" s="33" t="n">
        <f aca="false">'All Cars'!U5</f>
        <v>1</v>
      </c>
      <c r="C21" s="33" t="n">
        <f aca="false">'All Cars'!U6</f>
        <v>1</v>
      </c>
      <c r="D21" s="33" t="n">
        <f aca="false">'All Cars'!U9</f>
        <v>1</v>
      </c>
      <c r="E21" s="33" t="n">
        <f aca="false">'All Cars'!U12</f>
        <v>1</v>
      </c>
      <c r="F21" s="33" t="n">
        <f aca="false">'All Cars'!U13</f>
        <v>1</v>
      </c>
      <c r="G21" s="33" t="n">
        <f aca="false">'All Cars'!U17</f>
        <v>2</v>
      </c>
      <c r="H21" s="33" t="n">
        <f aca="false">'All Cars'!U18</f>
        <v>1</v>
      </c>
      <c r="I21" s="33" t="n">
        <f aca="false">'All Cars'!U19</f>
        <v>1</v>
      </c>
      <c r="J21" s="33" t="n">
        <f aca="false">'All Cars'!U22</f>
        <v>1</v>
      </c>
      <c r="K21" s="33" t="n">
        <f aca="false">'All Cars'!U23</f>
        <v>2</v>
      </c>
    </row>
    <row r="22" customFormat="false" ht="15" hidden="false" customHeight="false" outlineLevel="0" collapsed="false">
      <c r="A22" s="42" t="s">
        <v>209</v>
      </c>
      <c r="B22" s="35" t="str">
        <f aca="false">'All Cars'!V5</f>
        <v>Yes</v>
      </c>
      <c r="C22" s="35" t="str">
        <f aca="false">'All Cars'!V6</f>
        <v>Yes</v>
      </c>
      <c r="D22" s="35" t="str">
        <f aca="false">'All Cars'!V9</f>
        <v>Yes</v>
      </c>
      <c r="E22" s="35" t="str">
        <f aca="false">'All Cars'!V12</f>
        <v>Yes</v>
      </c>
      <c r="F22" s="35" t="str">
        <f aca="false">'All Cars'!V13</f>
        <v>Yes</v>
      </c>
      <c r="G22" s="35" t="str">
        <f aca="false">'All Cars'!V17</f>
        <v>Yes</v>
      </c>
      <c r="H22" s="35" t="str">
        <f aca="false">'All Cars'!V18</f>
        <v>Yes</v>
      </c>
      <c r="I22" s="35" t="str">
        <f aca="false">'All Cars'!V19</f>
        <v>Yes</v>
      </c>
      <c r="J22" s="35" t="str">
        <f aca="false">'All Cars'!V22</f>
        <v>Yes</v>
      </c>
      <c r="K22" s="35" t="str">
        <f aca="false">'All Cars'!V23</f>
        <v>Yes</v>
      </c>
    </row>
    <row r="23" customFormat="false" ht="15" hidden="false" customHeight="false" outlineLevel="0" collapsed="false">
      <c r="A23" s="42" t="s">
        <v>121</v>
      </c>
      <c r="B23" s="33" t="n">
        <f aca="false">'All Cars'!W5</f>
        <v>6</v>
      </c>
      <c r="C23" s="33" t="n">
        <f aca="false">'All Cars'!W6</f>
        <v>4</v>
      </c>
      <c r="D23" s="33" t="n">
        <f aca="false">'All Cars'!W9</f>
        <v>6</v>
      </c>
      <c r="E23" s="33" t="n">
        <f aca="false">'All Cars'!W12</f>
        <v>6</v>
      </c>
      <c r="F23" s="33" t="n">
        <f aca="false">'All Cars'!W13</f>
        <v>3</v>
      </c>
      <c r="G23" s="33" t="n">
        <f aca="false">'All Cars'!W17</f>
        <v>10</v>
      </c>
      <c r="H23" s="33" t="n">
        <f aca="false">'All Cars'!W18</f>
        <v>3</v>
      </c>
      <c r="I23" s="33" t="n">
        <f aca="false">'All Cars'!W19</f>
        <v>7</v>
      </c>
      <c r="J23" s="33" t="n">
        <f aca="false">'All Cars'!W22</f>
        <v>5</v>
      </c>
      <c r="K23" s="33" t="n">
        <f aca="false">'All Cars'!W23</f>
        <v>10</v>
      </c>
    </row>
    <row r="24" customFormat="false" ht="15" hidden="false" customHeight="false" outlineLevel="0" collapsed="false">
      <c r="A24" s="42" t="s">
        <v>210</v>
      </c>
      <c r="B24" s="35" t="str">
        <f aca="false">'All Cars'!L5</f>
        <v>AWD</v>
      </c>
      <c r="C24" s="35" t="str">
        <f aca="false">'All Cars'!L6</f>
        <v>AWD</v>
      </c>
      <c r="D24" s="35" t="str">
        <f aca="false">'All Cars'!L9</f>
        <v>AWD</v>
      </c>
      <c r="E24" s="35" t="str">
        <f aca="false">'All Cars'!L12</f>
        <v>AWD</v>
      </c>
      <c r="F24" s="35" t="str">
        <f aca="false">'All Cars'!L13</f>
        <v>AWD</v>
      </c>
      <c r="G24" s="35" t="str">
        <f aca="false">'All Cars'!L17</f>
        <v>AWD</v>
      </c>
      <c r="H24" s="35" t="str">
        <f aca="false">'All Cars'!L18</f>
        <v>AWD</v>
      </c>
      <c r="I24" s="35" t="str">
        <f aca="false">'All Cars'!L19</f>
        <v>AWD</v>
      </c>
      <c r="J24" s="35" t="str">
        <f aca="false">'All Cars'!L22</f>
        <v>AWD</v>
      </c>
      <c r="K24" s="35" t="str">
        <f aca="false">'All Cars'!L23</f>
        <v>AWD</v>
      </c>
    </row>
    <row r="25" customFormat="false" ht="15" hidden="false" customHeight="false" outlineLevel="0" collapsed="false">
      <c r="A25" s="42" t="s">
        <v>126</v>
      </c>
      <c r="B25" s="35" t="str">
        <f aca="false">'All Cars'!M5</f>
        <v>Gasoline</v>
      </c>
      <c r="C25" s="35" t="str">
        <f aca="false">'All Cars'!M6</f>
        <v>Gasoline</v>
      </c>
      <c r="D25" s="35" t="str">
        <f aca="false">'All Cars'!M9</f>
        <v>Gasoline</v>
      </c>
      <c r="E25" s="35" t="str">
        <f aca="false">'All Cars'!M12</f>
        <v>Hybrid</v>
      </c>
      <c r="F25" s="35" t="str">
        <f aca="false">'All Cars'!M13</f>
        <v>Hybrid</v>
      </c>
      <c r="G25" s="35" t="str">
        <f aca="false">'All Cars'!M17</f>
        <v>Hybrid</v>
      </c>
      <c r="H25" s="35" t="str">
        <f aca="false">'All Cars'!M18</f>
        <v>Gasoline</v>
      </c>
      <c r="I25" s="35" t="str">
        <f aca="false">'All Cars'!M19</f>
        <v>Hybrid</v>
      </c>
      <c r="J25" s="35" t="str">
        <f aca="false">'All Cars'!M22</f>
        <v>Gasoline</v>
      </c>
      <c r="K25" s="35" t="str">
        <f aca="false">'All Cars'!M23</f>
        <v>Hybrid</v>
      </c>
    </row>
    <row r="26" customFormat="false" ht="15" hidden="false" customHeight="false" outlineLevel="0" collapsed="false">
      <c r="A26" s="42" t="s">
        <v>127</v>
      </c>
      <c r="B26" s="33" t="n">
        <f aca="false">'All Cars'!N5</f>
        <v>29</v>
      </c>
      <c r="C26" s="33" t="n">
        <f aca="false">'All Cars'!N6</f>
        <v>28</v>
      </c>
      <c r="D26" s="33" t="n">
        <f aca="false">'All Cars'!N9</f>
        <v>28</v>
      </c>
      <c r="E26" s="33" t="n">
        <f aca="false">'All Cars'!N12</f>
        <v>37</v>
      </c>
      <c r="F26" s="33" t="n">
        <f aca="false">'All Cars'!N13</f>
        <v>35</v>
      </c>
      <c r="G26" s="33" t="n">
        <f aca="false">'All Cars'!N17</f>
        <v>37</v>
      </c>
      <c r="H26" s="33" t="n">
        <f aca="false">'All Cars'!N18</f>
        <v>28</v>
      </c>
      <c r="I26" s="33" t="n">
        <f aca="false">'All Cars'!N19</f>
        <v>37</v>
      </c>
      <c r="J26" s="33" t="n">
        <f aca="false">'All Cars'!N22</f>
        <v>28</v>
      </c>
      <c r="K26" s="33" t="n">
        <f aca="false">'All Cars'!N23</f>
        <v>37</v>
      </c>
    </row>
    <row r="27" customFormat="false" ht="15" hidden="false" customHeight="false" outlineLevel="0" collapsed="false">
      <c r="A27" s="42" t="s">
        <v>211</v>
      </c>
      <c r="B27" s="35" t="str">
        <f aca="false">'All Cars'!X5</f>
        <v>Yes</v>
      </c>
      <c r="C27" s="35" t="str">
        <f aca="false">'All Cars'!X6</f>
        <v>Yes</v>
      </c>
      <c r="D27" s="35" t="str">
        <f aca="false">'All Cars'!X9</f>
        <v>Yes</v>
      </c>
      <c r="E27" s="35" t="str">
        <f aca="false">'All Cars'!X12</f>
        <v>Yes</v>
      </c>
      <c r="F27" s="35" t="str">
        <f aca="false">'All Cars'!X13</f>
        <v>Yes</v>
      </c>
      <c r="G27" s="35" t="str">
        <f aca="false">'All Cars'!X17</f>
        <v>Yes</v>
      </c>
      <c r="H27" s="35" t="str">
        <f aca="false">'All Cars'!X18</f>
        <v>Yes</v>
      </c>
      <c r="I27" s="35" t="str">
        <f aca="false">'All Cars'!X19</f>
        <v>Yes</v>
      </c>
      <c r="J27" s="35" t="str">
        <f aca="false">'All Cars'!X22</f>
        <v>Yes</v>
      </c>
      <c r="K27" s="35" t="str">
        <f aca="false">'All Cars'!X23</f>
        <v>Yes</v>
      </c>
    </row>
    <row r="28" customFormat="false" ht="15" hidden="false" customHeight="false" outlineLevel="0" collapsed="false">
      <c r="A28" s="42" t="s">
        <v>212</v>
      </c>
      <c r="B28" s="35" t="str">
        <f aca="false">'All Cars'!Z5</f>
        <v>No</v>
      </c>
      <c r="C28" s="35" t="str">
        <f aca="false">'All Cars'!Z6</f>
        <v>No</v>
      </c>
      <c r="D28" s="35" t="str">
        <f aca="false">'All Cars'!Z9</f>
        <v>Yes</v>
      </c>
      <c r="E28" s="35" t="str">
        <f aca="false">'All Cars'!Z12</f>
        <v>No</v>
      </c>
      <c r="F28" s="35" t="str">
        <f aca="false">'All Cars'!Z13</f>
        <v>Yes</v>
      </c>
      <c r="G28" s="35" t="str">
        <f aca="false">'All Cars'!Z17</f>
        <v>Yes</v>
      </c>
      <c r="H28" s="35" t="str">
        <f aca="false">'All Cars'!Z18</f>
        <v>No</v>
      </c>
      <c r="I28" s="35" t="str">
        <f aca="false">'All Cars'!Z19</f>
        <v>No</v>
      </c>
      <c r="J28" s="35" t="str">
        <f aca="false">'All Cars'!Z22</f>
        <v>Yes</v>
      </c>
      <c r="K28" s="35" t="str">
        <f aca="false">'All Cars'!Z23</f>
        <v>No</v>
      </c>
    </row>
    <row r="29" customFormat="false" ht="15" hidden="false" customHeight="false" outlineLevel="0" collapsed="false">
      <c r="A29" s="42" t="s">
        <v>122</v>
      </c>
      <c r="B29" s="35" t="str">
        <f aca="false">'All Cars'!AA5</f>
        <v>Yes</v>
      </c>
      <c r="C29" s="35" t="str">
        <f aca="false">'All Cars'!AA6</f>
        <v>Yes</v>
      </c>
      <c r="D29" s="35" t="str">
        <f aca="false">'All Cars'!AA9</f>
        <v>Yes</v>
      </c>
      <c r="E29" s="35" t="str">
        <f aca="false">'All Cars'!AA12</f>
        <v>Yes</v>
      </c>
      <c r="F29" s="35" t="str">
        <f aca="false">'All Cars'!AA13</f>
        <v>Yes</v>
      </c>
      <c r="G29" s="35" t="str">
        <f aca="false">'All Cars'!AA17</f>
        <v>Yes</v>
      </c>
      <c r="H29" s="35" t="str">
        <f aca="false">'All Cars'!AA18</f>
        <v>Yes</v>
      </c>
      <c r="I29" s="35" t="str">
        <f aca="false">'All Cars'!AA19</f>
        <v>Yes</v>
      </c>
      <c r="J29" s="35" t="str">
        <f aca="false">'All Cars'!AA22</f>
        <v>Yes</v>
      </c>
      <c r="K29" s="35" t="str">
        <f aca="false">'All Cars'!AA23</f>
        <v>Yes</v>
      </c>
    </row>
    <row r="30" customFormat="false" ht="15" hidden="false" customHeight="false" outlineLevel="0" collapsed="false">
      <c r="A30" s="42" t="s">
        <v>123</v>
      </c>
      <c r="B30" s="35" t="str">
        <f aca="false">'All Cars'!AD5</f>
        <v>Yes</v>
      </c>
      <c r="C30" s="35" t="str">
        <f aca="false">'All Cars'!AD6</f>
        <v>No</v>
      </c>
      <c r="D30" s="35" t="str">
        <f aca="false">'All Cars'!AD9</f>
        <v>Yes</v>
      </c>
      <c r="E30" s="35" t="str">
        <f aca="false">'All Cars'!AD12</f>
        <v>Yes</v>
      </c>
      <c r="F30" s="35" t="str">
        <f aca="false">'All Cars'!AD13</f>
        <v>Yes</v>
      </c>
      <c r="G30" s="35" t="str">
        <f aca="false">'All Cars'!AD17</f>
        <v>Yes</v>
      </c>
      <c r="H30" s="35" t="str">
        <f aca="false">'All Cars'!AD18</f>
        <v>No</v>
      </c>
      <c r="I30" s="35" t="str">
        <f aca="false">'All Cars'!AD19</f>
        <v>Yes</v>
      </c>
      <c r="J30" s="35" t="str">
        <f aca="false">'All Cars'!AD22</f>
        <v>Yes</v>
      </c>
      <c r="K30" s="35" t="str">
        <f aca="false">'All Cars'!AD23</f>
        <v>Yes</v>
      </c>
    </row>
    <row r="31" customFormat="false" ht="15" hidden="false" customHeight="false" outlineLevel="0" collapsed="false">
      <c r="A31" s="42" t="s">
        <v>124</v>
      </c>
      <c r="B31" s="35" t="str">
        <f aca="false">'All Cars'!AC5</f>
        <v>Yes</v>
      </c>
      <c r="C31" s="35" t="str">
        <f aca="false">'All Cars'!AC6</f>
        <v>No</v>
      </c>
      <c r="D31" s="35" t="str">
        <f aca="false">'All Cars'!AC9</f>
        <v>Yes</v>
      </c>
      <c r="E31" s="35" t="str">
        <f aca="false">'All Cars'!AC12</f>
        <v>No</v>
      </c>
      <c r="F31" s="35" t="str">
        <f aca="false">'All Cars'!AC13</f>
        <v>Yes</v>
      </c>
      <c r="G31" s="35" t="str">
        <f aca="false">'All Cars'!AC17</f>
        <v>Yes</v>
      </c>
      <c r="H31" s="35" t="str">
        <f aca="false">'All Cars'!AC18</f>
        <v>No</v>
      </c>
      <c r="I31" s="35" t="str">
        <f aca="false">'All Cars'!AC19</f>
        <v>Yes</v>
      </c>
      <c r="J31" s="35" t="str">
        <f aca="false">'All Cars'!AC22</f>
        <v>Yes</v>
      </c>
      <c r="K31" s="35" t="str">
        <f aca="false">'All Cars'!AC23</f>
        <v>Yes</v>
      </c>
    </row>
    <row r="32" customFormat="false" ht="15" hidden="false" customHeight="false" outlineLevel="0" collapsed="false">
      <c r="A32" s="42" t="s">
        <v>125</v>
      </c>
      <c r="B32" s="35" t="str">
        <f aca="false">'All Cars'!AB5</f>
        <v>Yes</v>
      </c>
      <c r="C32" s="35" t="str">
        <f aca="false">'All Cars'!AB6</f>
        <v>Yes</v>
      </c>
      <c r="D32" s="35" t="str">
        <f aca="false">'All Cars'!AB9</f>
        <v>Yes</v>
      </c>
      <c r="E32" s="35" t="str">
        <f aca="false">'All Cars'!AB12</f>
        <v>Yes</v>
      </c>
      <c r="F32" s="35" t="str">
        <f aca="false">'All Cars'!AB13</f>
        <v>Yes</v>
      </c>
      <c r="G32" s="35" t="str">
        <f aca="false">'All Cars'!AB17</f>
        <v>Yes</v>
      </c>
      <c r="H32" s="35" t="str">
        <f aca="false">'All Cars'!AB18</f>
        <v>Yes</v>
      </c>
      <c r="I32" s="35" t="str">
        <f aca="false">'All Cars'!AB19</f>
        <v>Yes</v>
      </c>
      <c r="J32" s="35" t="str">
        <f aca="false">'All Cars'!AB22</f>
        <v>Yes</v>
      </c>
      <c r="K32" s="35" t="str">
        <f aca="false">'All Cars'!AB23</f>
        <v>Yes</v>
      </c>
    </row>
    <row r="33" customFormat="false" ht="15" hidden="false" customHeight="false" outlineLevel="0" collapsed="false">
      <c r="A33" s="42" t="s">
        <v>213</v>
      </c>
      <c r="B33" s="35" t="str">
        <f aca="false">'All Cars'!AE5</f>
        <v>Yes</v>
      </c>
      <c r="C33" s="35" t="str">
        <f aca="false">'All Cars'!AE6</f>
        <v>No</v>
      </c>
      <c r="D33" s="35" t="str">
        <f aca="false">'All Cars'!AE9</f>
        <v>No</v>
      </c>
      <c r="E33" s="35" t="str">
        <f aca="false">'All Cars'!AE12</f>
        <v>No</v>
      </c>
      <c r="F33" s="35" t="str">
        <f aca="false">'All Cars'!AE13</f>
        <v>Yes</v>
      </c>
      <c r="G33" s="35" t="str">
        <f aca="false">'All Cars'!AE17</f>
        <v>Yes</v>
      </c>
      <c r="H33" s="35" t="str">
        <f aca="false">'All Cars'!AE18</f>
        <v>No</v>
      </c>
      <c r="I33" s="35" t="str">
        <f aca="false">'All Cars'!AE19</f>
        <v>Yes</v>
      </c>
      <c r="J33" s="35" t="str">
        <f aca="false">'All Cars'!AE22</f>
        <v>No</v>
      </c>
      <c r="K33" s="35" t="str">
        <f aca="false">'All Cars'!AE23</f>
        <v>No</v>
      </c>
    </row>
    <row r="34" customFormat="false" ht="15" hidden="false" customHeight="false" outlineLevel="0" collapsed="false">
      <c r="A34" s="42" t="s">
        <v>214</v>
      </c>
      <c r="B34" s="35" t="str">
        <f aca="false">'All Cars'!AF5</f>
        <v>No</v>
      </c>
      <c r="C34" s="35" t="str">
        <f aca="false">'All Cars'!AF6</f>
        <v>No</v>
      </c>
      <c r="D34" s="35" t="str">
        <f aca="false">'All Cars'!AF9</f>
        <v>Yes</v>
      </c>
      <c r="E34" s="35" t="str">
        <f aca="false">'All Cars'!AF12</f>
        <v>No</v>
      </c>
      <c r="F34" s="35" t="str">
        <f aca="false">'All Cars'!AF13</f>
        <v>No</v>
      </c>
      <c r="G34" s="35" t="str">
        <f aca="false">'All Cars'!AF17</f>
        <v>Yes</v>
      </c>
      <c r="H34" s="35" t="str">
        <f aca="false">'All Cars'!AF18</f>
        <v>No</v>
      </c>
      <c r="I34" s="35" t="str">
        <f aca="false">'All Cars'!AF19</f>
        <v>No</v>
      </c>
      <c r="J34" s="35" t="str">
        <f aca="false">'All Cars'!AF22</f>
        <v>Yes</v>
      </c>
      <c r="K34" s="35" t="str">
        <f aca="false">'All Cars'!AF23</f>
        <v>No</v>
      </c>
    </row>
    <row r="35" customFormat="false" ht="15" hidden="false" customHeight="false" outlineLevel="0" collapsed="false">
      <c r="A35" s="42" t="s">
        <v>215</v>
      </c>
      <c r="B35" s="35" t="str">
        <f aca="false">'All Cars'!AG5</f>
        <v>Yes</v>
      </c>
      <c r="C35" s="35" t="str">
        <f aca="false">'All Cars'!AG6</f>
        <v>No</v>
      </c>
      <c r="D35" s="35" t="str">
        <f aca="false">'All Cars'!AG9</f>
        <v>No</v>
      </c>
      <c r="E35" s="35" t="str">
        <f aca="false">'All Cars'!AG12</f>
        <v>No</v>
      </c>
      <c r="F35" s="35" t="str">
        <f aca="false">'All Cars'!AG13</f>
        <v>Yes</v>
      </c>
      <c r="G35" s="35" t="str">
        <f aca="false">'All Cars'!AG17</f>
        <v>Yes</v>
      </c>
      <c r="H35" s="35" t="str">
        <f aca="false">'All Cars'!AG18</f>
        <v>No</v>
      </c>
      <c r="I35" s="35" t="str">
        <f aca="false">'All Cars'!AG19</f>
        <v>Yes</v>
      </c>
      <c r="J35" s="35" t="str">
        <f aca="false">'All Cars'!AG22</f>
        <v>No</v>
      </c>
      <c r="K35" s="35" t="str">
        <f aca="false">'All Cars'!AG23</f>
        <v>Yes</v>
      </c>
    </row>
    <row r="36" customFormat="false" ht="15" hidden="false" customHeight="false" outlineLevel="0" collapsed="false">
      <c r="A36" s="42" t="s">
        <v>216</v>
      </c>
      <c r="B36" s="35" t="str">
        <f aca="false">'All Cars'!AK5</f>
        <v>Gray</v>
      </c>
      <c r="C36" s="35" t="str">
        <f aca="false">'All Cars'!AK6</f>
        <v>Silver</v>
      </c>
      <c r="D36" s="35" t="str">
        <f aca="false">'All Cars'!AK9</f>
        <v>Black</v>
      </c>
      <c r="E36" s="35" t="str">
        <f aca="false">'All Cars'!AK12</f>
        <v>Blue</v>
      </c>
      <c r="F36" s="35" t="str">
        <f aca="false">'All Cars'!AK13</f>
        <v>Gray</v>
      </c>
      <c r="G36" s="35" t="str">
        <f aca="false">'All Cars'!AK17</f>
        <v>Blue</v>
      </c>
      <c r="H36" s="35" t="str">
        <f aca="false">'All Cars'!AK18</f>
        <v>Silver</v>
      </c>
      <c r="I36" s="35" t="str">
        <f aca="false">'All Cars'!AK19</f>
        <v>Silver</v>
      </c>
      <c r="J36" s="35" t="str">
        <f aca="false">'All Cars'!AK22</f>
        <v>White</v>
      </c>
      <c r="K36" s="35" t="str">
        <f aca="false">'All Cars'!AK23</f>
        <v>Gray</v>
      </c>
    </row>
    <row r="37" customFormat="false" ht="15" hidden="false" customHeight="false" outlineLevel="0" collapsed="false">
      <c r="A37" s="42" t="s">
        <v>217</v>
      </c>
      <c r="B37" s="35" t="str">
        <f aca="false">'All Cars'!AL5</f>
        <v>Black</v>
      </c>
      <c r="C37" s="35" t="str">
        <f aca="false">'All Cars'!AL6</f>
        <v>Gray</v>
      </c>
      <c r="D37" s="35" t="str">
        <f aca="false">'All Cars'!AL9</f>
        <v>White</v>
      </c>
      <c r="E37" s="35" t="str">
        <f aca="false">'All Cars'!AL12</f>
        <v>Black</v>
      </c>
      <c r="F37" s="35" t="str">
        <f aca="false">'All Cars'!AL13</f>
        <v>Black</v>
      </c>
      <c r="G37" s="35" t="str">
        <f aca="false">'All Cars'!AL17</f>
        <v>Black</v>
      </c>
      <c r="H37" s="35" t="str">
        <f aca="false">'All Cars'!AL18</f>
        <v>Gray</v>
      </c>
      <c r="I37" s="35" t="str">
        <f aca="false">'All Cars'!AL19</f>
        <v>Black</v>
      </c>
      <c r="J37" s="35" t="str">
        <f aca="false">'All Cars'!AL22</f>
        <v>Tan</v>
      </c>
      <c r="K37" s="35" t="str">
        <f aca="false">'All Cars'!AL23</f>
        <v>Black</v>
      </c>
    </row>
    <row r="38" customFormat="false" ht="15" hidden="false" customHeight="false" outlineLevel="0" collapsed="false">
      <c r="A38" s="42" t="s">
        <v>128</v>
      </c>
      <c r="B38" s="35" t="str">
        <f aca="false">'All Cars'!AN5</f>
        <v>Gurley Leep Honda</v>
      </c>
      <c r="C38" s="35" t="str">
        <f aca="false">'All Cars'!AN6</f>
        <v>Crown Motors Cadillac Buick Honda Mazda</v>
      </c>
      <c r="D38" s="35" t="str">
        <f aca="false">'All Cars'!AN9</f>
        <v>Fox Maple Hill</v>
      </c>
      <c r="E38" s="35" t="str">
        <f aca="false">'All Cars'!AN12</f>
        <v>Crown Motors Cadillac Buick Honda Mazda</v>
      </c>
      <c r="F38" s="35" t="str">
        <f aca="false">'All Cars'!AN13</f>
        <v>Gurley Leep Kia</v>
      </c>
      <c r="G38" s="35" t="str">
        <f aca="false">'All Cars'!AN17</f>
        <v>Gurley Leep Hyundai Subaru</v>
      </c>
      <c r="H38" s="35" t="str">
        <f aca="false">'All Cars'!AN18</f>
        <v>Crown Motors Cadillac Buick Honda Mazda</v>
      </c>
      <c r="I38" s="35" t="str">
        <f aca="false">'All Cars'!AN19</f>
        <v>Jordan Lexus of Mishawaka</v>
      </c>
      <c r="J38" s="35" t="str">
        <f aca="false">'All Cars'!AN22</f>
        <v>Gurley Leep Buick GMC Cadillac</v>
      </c>
      <c r="K38" s="35" t="str">
        <f aca="false">'All Cars'!AN23</f>
        <v>Zeigler Ford Lincoln Elkhart</v>
      </c>
    </row>
    <row r="39" customFormat="false" ht="15" hidden="false" customHeight="false" outlineLevel="0" collapsed="false">
      <c r="A39" s="42" t="s">
        <v>129</v>
      </c>
      <c r="B39" s="35" t="str">
        <f aca="false">'All Cars'!AO5</f>
        <v>Elkhart</v>
      </c>
      <c r="C39" s="35" t="str">
        <f aca="false">'All Cars'!AO6</f>
        <v>Holland</v>
      </c>
      <c r="D39" s="35" t="str">
        <f aca="false">'All Cars'!AO9</f>
        <v>Kalamazoo</v>
      </c>
      <c r="E39" s="35" t="str">
        <f aca="false">'All Cars'!AO12</f>
        <v>Holland</v>
      </c>
      <c r="F39" s="35" t="str">
        <f aca="false">'All Cars'!AO13</f>
        <v>Mishawaka</v>
      </c>
      <c r="G39" s="35" t="str">
        <f aca="false">'All Cars'!AO17</f>
        <v>Mishawaka</v>
      </c>
      <c r="H39" s="35" t="str">
        <f aca="false">'All Cars'!AO18</f>
        <v>Holland</v>
      </c>
      <c r="I39" s="35" t="str">
        <f aca="false">'All Cars'!AO19</f>
        <v>Mishawaka</v>
      </c>
      <c r="J39" s="35" t="str">
        <f aca="false">'All Cars'!AO22</f>
        <v>Mishawaka</v>
      </c>
      <c r="K39" s="35" t="str">
        <f aca="false">'All Cars'!AO23</f>
        <v>Elkhart</v>
      </c>
    </row>
    <row r="40" customFormat="false" ht="15" hidden="false" customHeight="false" outlineLevel="0" collapsed="false">
      <c r="A40" s="42" t="s">
        <v>130</v>
      </c>
      <c r="B40" s="39" t="n">
        <f aca="false">'All Cars'!AQ5</f>
        <v>0.4</v>
      </c>
      <c r="C40" s="39" t="n">
        <f aca="false">'All Cars'!AQ6</f>
        <v>71</v>
      </c>
      <c r="D40" s="39" t="n">
        <f aca="false">'All Cars'!AQ9</f>
        <v>42.8</v>
      </c>
      <c r="E40" s="39" t="n">
        <f aca="false">'All Cars'!AQ12</f>
        <v>71</v>
      </c>
      <c r="F40" s="39" t="n">
        <f aca="false">'All Cars'!AQ13</f>
        <v>11</v>
      </c>
      <c r="G40" s="39" t="n">
        <f aca="false">'All Cars'!AQ17</f>
        <v>10.8</v>
      </c>
      <c r="H40" s="39" t="n">
        <f aca="false">'All Cars'!AQ18</f>
        <v>71</v>
      </c>
      <c r="I40" s="39" t="n">
        <f aca="false">'All Cars'!AQ19</f>
        <v>11.1</v>
      </c>
      <c r="J40" s="39" t="n">
        <f aca="false">'All Cars'!AQ22</f>
        <v>10.7</v>
      </c>
      <c r="K40" s="39" t="n">
        <f aca="false">'All Cars'!AQ23</f>
        <v>3.1</v>
      </c>
    </row>
    <row r="41" customFormat="false" ht="15" hidden="false" customHeight="false" outlineLevel="0" collapsed="false">
      <c r="A41" s="42" t="s">
        <v>218</v>
      </c>
      <c r="B41" s="39" t="n">
        <f aca="false">'All Cars'!AR5</f>
        <v>4.6</v>
      </c>
      <c r="C41" s="39" t="n">
        <f aca="false">'All Cars'!AR6</f>
        <v>4.7</v>
      </c>
      <c r="D41" s="39" t="n">
        <f aca="false">'All Cars'!AR9</f>
        <v>0</v>
      </c>
      <c r="E41" s="39" t="n">
        <f aca="false">'All Cars'!AR12</f>
        <v>4.7</v>
      </c>
      <c r="F41" s="39" t="n">
        <f aca="false">'All Cars'!AR13</f>
        <v>4.2</v>
      </c>
      <c r="G41" s="39" t="n">
        <f aca="false">'All Cars'!AR17</f>
        <v>4.5</v>
      </c>
      <c r="H41" s="39" t="n">
        <f aca="false">'All Cars'!AR18</f>
        <v>4.7</v>
      </c>
      <c r="I41" s="39" t="n">
        <f aca="false">'All Cars'!AR19</f>
        <v>4.7</v>
      </c>
      <c r="J41" s="39" t="n">
        <f aca="false">'All Cars'!AR22</f>
        <v>4.5</v>
      </c>
      <c r="K41" s="39" t="n">
        <f aca="false">'All Cars'!AR23</f>
        <v>4.6</v>
      </c>
    </row>
    <row r="42" customFormat="false" ht="15" hidden="false" customHeight="false" outlineLevel="0" collapsed="false">
      <c r="A42" s="42" t="s">
        <v>219</v>
      </c>
      <c r="B42" s="33" t="n">
        <f aca="false">'All Cars'!AS5</f>
        <v>53</v>
      </c>
      <c r="C42" s="33" t="n">
        <f aca="false">'All Cars'!AS6</f>
        <v>32</v>
      </c>
      <c r="D42" s="33" t="n">
        <f aca="false">'All Cars'!AS9</f>
        <v>17</v>
      </c>
      <c r="E42" s="33" t="n">
        <f aca="false">'All Cars'!AS12</f>
        <v>44</v>
      </c>
      <c r="F42" s="33" t="n">
        <f aca="false">'All Cars'!AS13</f>
        <v>89</v>
      </c>
      <c r="G42" s="33" t="n">
        <f aca="false">'All Cars'!AS17</f>
        <v>25</v>
      </c>
      <c r="H42" s="33" t="n">
        <f aca="false">'All Cars'!AS18</f>
        <v>32</v>
      </c>
      <c r="I42" s="33" t="n">
        <f aca="false">'All Cars'!AS19</f>
        <v>19</v>
      </c>
      <c r="J42" s="33" t="n">
        <f aca="false">'All Cars'!AS22</f>
        <v>3</v>
      </c>
      <c r="K42" s="33" t="n">
        <f aca="false">'All Cars'!AS23</f>
        <v>46</v>
      </c>
    </row>
    <row r="43" customFormat="false" ht="15" hidden="false" customHeight="false" outlineLevel="0" collapsed="false">
      <c r="A43" s="42" t="s">
        <v>220</v>
      </c>
      <c r="B43" s="36" t="n">
        <f aca="false">'All Cars'!AT5</f>
        <v>3169</v>
      </c>
      <c r="C43" s="36" t="n">
        <f aca="false">'All Cars'!AT6</f>
        <v>0</v>
      </c>
      <c r="D43" s="36" t="n">
        <f aca="false">'All Cars'!AT9</f>
        <v>895</v>
      </c>
      <c r="E43" s="36" t="n">
        <f aca="false">'All Cars'!AT12</f>
        <v>0</v>
      </c>
      <c r="F43" s="36" t="n">
        <f aca="false">'All Cars'!AT13</f>
        <v>0</v>
      </c>
      <c r="G43" s="36" t="n">
        <f aca="false">'All Cars'!AT17</f>
        <v>0</v>
      </c>
      <c r="H43" s="36" t="n">
        <f aca="false">'All Cars'!AT18</f>
        <v>0</v>
      </c>
      <c r="I43" s="36" t="n">
        <f aca="false">'All Cars'!AT19</f>
        <v>-49</v>
      </c>
      <c r="J43" s="36" t="n">
        <f aca="false">'All Cars'!AT22</f>
        <v>0</v>
      </c>
      <c r="K43" s="36" t="n">
        <f aca="false">'All Cars'!AT23</f>
        <v>0</v>
      </c>
    </row>
    <row r="44" customFormat="false" ht="12.65" hidden="false" customHeight="false" outlineLevel="0" collapsed="false">
      <c r="A44" s="42" t="s">
        <v>221</v>
      </c>
      <c r="B44" s="43" t="s">
        <v>222</v>
      </c>
      <c r="C44" s="43" t="s">
        <v>222</v>
      </c>
      <c r="D44" s="43" t="s">
        <v>222</v>
      </c>
      <c r="E44" s="43" t="s">
        <v>222</v>
      </c>
      <c r="F44" s="43" t="s">
        <v>222</v>
      </c>
      <c r="G44" s="43" t="s">
        <v>222</v>
      </c>
      <c r="H44" s="43" t="s">
        <v>222</v>
      </c>
      <c r="I44" s="43" t="s">
        <v>222</v>
      </c>
      <c r="J44" s="43" t="s">
        <v>222</v>
      </c>
      <c r="K44" s="43" t="s">
        <v>222</v>
      </c>
    </row>
    <row r="45" customFormat="false" ht="19.4" hidden="false" customHeight="false" outlineLevel="0" collapsed="false">
      <c r="A45" s="42" t="s">
        <v>133</v>
      </c>
      <c r="B45" s="44" t="s">
        <v>135</v>
      </c>
      <c r="C45" s="44" t="s">
        <v>137</v>
      </c>
      <c r="D45" s="44" t="s">
        <v>139</v>
      </c>
      <c r="E45" s="44" t="s">
        <v>141</v>
      </c>
      <c r="F45" s="44" t="s">
        <v>143</v>
      </c>
      <c r="G45" s="44" t="s">
        <v>145</v>
      </c>
      <c r="H45" s="44" t="s">
        <v>146</v>
      </c>
      <c r="I45" s="44" t="s">
        <v>148</v>
      </c>
      <c r="J45" s="44" t="s">
        <v>150</v>
      </c>
      <c r="K45" s="44" t="s">
        <v>152</v>
      </c>
    </row>
  </sheetData>
  <conditionalFormatting sqref="B5:K5">
    <cfRule type="colorScale" priority="2">
      <colorScale>
        <cfvo type="min" val="0"/>
        <cfvo type="percentile" val="50"/>
        <cfvo type="max" val="0"/>
        <color rgb="FFF8696B"/>
        <color rgb="FFFFEB84"/>
        <color rgb="FF63BE7B"/>
      </colorScale>
    </cfRule>
  </conditionalFormatting>
  <hyperlinks>
    <hyperlink ref="B44" r:id="rId1" display="Open CARFAX listing"/>
    <hyperlink ref="C44" r:id="rId2" display="Open CARFAX listing"/>
    <hyperlink ref="D44" r:id="rId3" display="Open CARFAX listing"/>
    <hyperlink ref="E44" r:id="rId4" display="Open CARFAX listing"/>
    <hyperlink ref="F44" r:id="rId5" display="Open CARFAX listing"/>
    <hyperlink ref="G44" r:id="rId6" display="Open CARFAX listing"/>
    <hyperlink ref="H44" r:id="rId7" display="Open CARFAX listing"/>
    <hyperlink ref="I44" r:id="rId8" display="Open CARFAX listing"/>
    <hyperlink ref="J44" r:id="rId9" display="Open CARFAX listing"/>
    <hyperlink ref="K44" r:id="rId10" display="Open CARFAX li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8"/>
    <col collapsed="false" customWidth="true" hidden="false" outlineLevel="0" max="4" min="4" style="0" width="11"/>
    <col collapsed="false" customWidth="true" hidden="false" outlineLevel="0" max="8" min="5" style="0" width="12"/>
    <col collapsed="false" customWidth="true" hidden="false" outlineLevel="0" max="10" min="9" style="0" width="11"/>
    <col collapsed="false" customWidth="true" hidden="false" outlineLevel="0" max="11" min="11" style="0" width="14"/>
  </cols>
  <sheetData>
    <row r="1" customFormat="false" ht="19.7" hidden="false" customHeight="false" outlineLevel="0" collapsed="false">
      <c r="A1" s="1" t="s">
        <v>30</v>
      </c>
    </row>
    <row r="2" customFormat="false" ht="15" hidden="false" customHeight="false" outlineLevel="0" collapsed="false">
      <c r="A2" s="19" t="s">
        <v>223</v>
      </c>
    </row>
    <row r="4" customFormat="false" ht="30" hidden="false" customHeight="true" outlineLevel="0" collapsed="false">
      <c r="A4" s="20" t="s">
        <v>90</v>
      </c>
      <c r="B4" s="20" t="s">
        <v>112</v>
      </c>
      <c r="C4" s="20" t="s">
        <v>111</v>
      </c>
      <c r="D4" s="20" t="s">
        <v>224</v>
      </c>
      <c r="E4" s="20" t="s">
        <v>225</v>
      </c>
      <c r="F4" s="20" t="s">
        <v>226</v>
      </c>
      <c r="G4" s="20" t="s">
        <v>227</v>
      </c>
      <c r="H4" s="20" t="s">
        <v>228</v>
      </c>
      <c r="I4" s="20" t="s">
        <v>229</v>
      </c>
      <c r="J4" s="20" t="s">
        <v>230</v>
      </c>
      <c r="K4" s="20" t="s">
        <v>231</v>
      </c>
    </row>
    <row r="5" customFormat="false" ht="15" hidden="false" customHeight="false" outlineLevel="0" collapsed="false">
      <c r="A5" s="35" t="s">
        <v>94</v>
      </c>
      <c r="B5" s="35" t="s">
        <v>232</v>
      </c>
      <c r="C5" s="33" t="n">
        <v>2022</v>
      </c>
      <c r="D5" s="33" t="n">
        <f aca="false">COUNTIFS('All Cars'!$E$5:$E$266,$A5,'All Cars'!$F$5:$F$266,$B5,'All Cars'!$D$5:$D$266,$C5)</f>
        <v>5</v>
      </c>
      <c r="E5" s="36" t="n">
        <f aca="false">IFERROR(AVERAGEIFS('All Cars'!$H$5:$H$266,'All Cars'!$E$5:$E$266,$A5,'All Cars'!$F$5:$F$266,$B5,'All Cars'!$D$5:$D$266,$C5),"")</f>
        <v>27888.4</v>
      </c>
      <c r="F5" s="36" t="n">
        <f aca="false">IFERROR(_xlfn.MINIFS('All Cars'!$H$5:$H$266,'All Cars'!$E$5:$E$266,$A5,'All Cars'!$F$5:$F$266,$B5,'All Cars'!$D$5:$D$266,$C5),"")</f>
        <v>26548</v>
      </c>
      <c r="G5" s="36" t="n">
        <f aca="false">IFERROR(_xlfn.MAXIFS('All Cars'!$H$5:$H$266,'All Cars'!$E$5:$E$266,$A5,'All Cars'!$F$5:$F$266,$B5,'All Cars'!$D$5:$D$266,$C5),"")</f>
        <v>28670</v>
      </c>
      <c r="H5" s="37" t="n">
        <f aca="false">IFERROR(AVERAGEIFS('All Cars'!$I$5:$I$266,'All Cars'!$E$5:$E$266,$A5,'All Cars'!$F$5:$F$266,$B5,'All Cars'!$D$5:$D$266,$C5),"")</f>
        <v>54387.2</v>
      </c>
      <c r="I5" s="39" t="n">
        <f aca="false">IFERROR(AVERAGEIFS('All Cars'!$B$5:$B$266,'All Cars'!$E$5:$E$266,$A5,'All Cars'!$F$5:$F$266,$B5,'All Cars'!$D$5:$D$266,$C5),"")</f>
        <v>51.84</v>
      </c>
      <c r="J5" s="33" t="n">
        <f aca="false">COUNTIFS('All Cars'!$E$5:$E$266,$A5,'All Cars'!$F$5:$F$266,$B5,'All Cars'!$D$5:$D$266,$C5,'All Cars'!$K$5:$K$266,"Yes")</f>
        <v>0</v>
      </c>
      <c r="K5" s="33" t="n">
        <f aca="false">COUNTIFS('All Cars'!$E$5:$E$266,$A5,'All Cars'!$F$5:$F$266,$B5,'All Cars'!$D$5:$D$266,$C5,'All Cars'!$C$5:$C$266,"YES")</f>
        <v>2</v>
      </c>
    </row>
    <row r="6" customFormat="false" ht="15" hidden="false" customHeight="false" outlineLevel="0" collapsed="false">
      <c r="A6" s="35" t="s">
        <v>94</v>
      </c>
      <c r="B6" s="35" t="s">
        <v>232</v>
      </c>
      <c r="C6" s="33" t="n">
        <v>2023</v>
      </c>
      <c r="D6" s="33" t="n">
        <f aca="false">COUNTIFS('All Cars'!$E$5:$E$266,$A6,'All Cars'!$F$5:$F$266,$B6,'All Cars'!$D$5:$D$266,$C6)</f>
        <v>15</v>
      </c>
      <c r="E6" s="36" t="n">
        <f aca="false">IFERROR(AVERAGEIFS('All Cars'!$H$5:$H$266,'All Cars'!$E$5:$E$266,$A6,'All Cars'!$F$5:$F$266,$B6,'All Cars'!$D$5:$D$266,$C6),"")</f>
        <v>30764.0666666667</v>
      </c>
      <c r="F6" s="36" t="n">
        <f aca="false">IFERROR(_xlfn.MINIFS('All Cars'!$H$5:$H$266,'All Cars'!$E$5:$E$266,$A6,'All Cars'!$F$5:$F$266,$B6,'All Cars'!$D$5:$D$266,$C6),"")</f>
        <v>26561</v>
      </c>
      <c r="G6" s="36" t="n">
        <f aca="false">IFERROR(_xlfn.MAXIFS('All Cars'!$H$5:$H$266,'All Cars'!$E$5:$E$266,$A6,'All Cars'!$F$5:$F$266,$B6,'All Cars'!$D$5:$D$266,$C6),"")</f>
        <v>33741</v>
      </c>
      <c r="H6" s="37" t="n">
        <f aca="false">IFERROR(AVERAGEIFS('All Cars'!$I$5:$I$266,'All Cars'!$E$5:$E$266,$A6,'All Cars'!$F$5:$F$266,$B6,'All Cars'!$D$5:$D$266,$C6),"")</f>
        <v>50979.1333333333</v>
      </c>
      <c r="I6" s="39" t="n">
        <f aca="false">IFERROR(AVERAGEIFS('All Cars'!$B$5:$B$266,'All Cars'!$E$5:$E$266,$A6,'All Cars'!$F$5:$F$266,$B6,'All Cars'!$D$5:$D$266,$C6),"")</f>
        <v>53.2866666666667</v>
      </c>
      <c r="J6" s="33" t="n">
        <f aca="false">COUNTIFS('All Cars'!$E$5:$E$266,$A6,'All Cars'!$F$5:$F$266,$B6,'All Cars'!$D$5:$D$266,$C6,'All Cars'!$K$5:$K$266,"Yes")</f>
        <v>0</v>
      </c>
      <c r="K6" s="33" t="n">
        <f aca="false">COUNTIFS('All Cars'!$E$5:$E$266,$A6,'All Cars'!$F$5:$F$266,$B6,'All Cars'!$D$5:$D$266,$C6,'All Cars'!$C$5:$C$266,"YES")</f>
        <v>3</v>
      </c>
    </row>
    <row r="7" customFormat="false" ht="15" hidden="false" customHeight="false" outlineLevel="0" collapsed="false">
      <c r="A7" s="35" t="s">
        <v>94</v>
      </c>
      <c r="B7" s="35" t="s">
        <v>232</v>
      </c>
      <c r="C7" s="33" t="n">
        <v>2024</v>
      </c>
      <c r="D7" s="33" t="n">
        <f aca="false">COUNTIFS('All Cars'!$E$5:$E$266,$A7,'All Cars'!$F$5:$F$266,$B7,'All Cars'!$D$5:$D$266,$C7)</f>
        <v>26</v>
      </c>
      <c r="E7" s="36" t="n">
        <f aca="false">IFERROR(AVERAGEIFS('All Cars'!$H$5:$H$266,'All Cars'!$E$5:$E$266,$A7,'All Cars'!$F$5:$F$266,$B7,'All Cars'!$D$5:$D$266,$C7),"")</f>
        <v>32123</v>
      </c>
      <c r="F7" s="36" t="n">
        <f aca="false">IFERROR(_xlfn.MINIFS('All Cars'!$H$5:$H$266,'All Cars'!$E$5:$E$266,$A7,'All Cars'!$F$5:$F$266,$B7,'All Cars'!$D$5:$D$266,$C7),"")</f>
        <v>25990</v>
      </c>
      <c r="G7" s="36" t="n">
        <f aca="false">IFERROR(_xlfn.MAXIFS('All Cars'!$H$5:$H$266,'All Cars'!$E$5:$E$266,$A7,'All Cars'!$F$5:$F$266,$B7,'All Cars'!$D$5:$D$266,$C7),"")</f>
        <v>37990</v>
      </c>
      <c r="H7" s="37" t="n">
        <f aca="false">IFERROR(AVERAGEIFS('All Cars'!$I$5:$I$266,'All Cars'!$E$5:$E$266,$A7,'All Cars'!$F$5:$F$266,$B7,'All Cars'!$D$5:$D$266,$C7),"")</f>
        <v>39449.2692307692</v>
      </c>
      <c r="I7" s="39" t="n">
        <f aca="false">IFERROR(AVERAGEIFS('All Cars'!$B$5:$B$266,'All Cars'!$E$5:$E$266,$A7,'All Cars'!$F$5:$F$266,$B7,'All Cars'!$D$5:$D$266,$C7),"")</f>
        <v>55.7615384615385</v>
      </c>
      <c r="J7" s="33" t="n">
        <f aca="false">COUNTIFS('All Cars'!$E$5:$E$266,$A7,'All Cars'!$F$5:$F$266,$B7,'All Cars'!$D$5:$D$266,$C7,'All Cars'!$K$5:$K$266,"Yes")</f>
        <v>3</v>
      </c>
      <c r="K7" s="33" t="n">
        <f aca="false">COUNTIFS('All Cars'!$E$5:$E$266,$A7,'All Cars'!$F$5:$F$266,$B7,'All Cars'!$D$5:$D$266,$C7,'All Cars'!$C$5:$C$266,"YES")</f>
        <v>6</v>
      </c>
    </row>
    <row r="8" customFormat="false" ht="15" hidden="false" customHeight="false" outlineLevel="0" collapsed="false">
      <c r="A8" s="35" t="s">
        <v>94</v>
      </c>
      <c r="B8" s="35" t="s">
        <v>232</v>
      </c>
      <c r="C8" s="33" t="n">
        <v>2025</v>
      </c>
      <c r="D8" s="33" t="n">
        <f aca="false">COUNTIFS('All Cars'!$E$5:$E$266,$A8,'All Cars'!$F$5:$F$266,$B8,'All Cars'!$D$5:$D$266,$C8)</f>
        <v>18</v>
      </c>
      <c r="E8" s="36" t="n">
        <f aca="false">IFERROR(AVERAGEIFS('All Cars'!$H$5:$H$266,'All Cars'!$E$5:$E$266,$A8,'All Cars'!$F$5:$F$266,$B8,'All Cars'!$D$5:$D$266,$C8),"")</f>
        <v>33886.8888888889</v>
      </c>
      <c r="F8" s="36" t="n">
        <f aca="false">IFERROR(_xlfn.MINIFS('All Cars'!$H$5:$H$266,'All Cars'!$E$5:$E$266,$A8,'All Cars'!$F$5:$F$266,$B8,'All Cars'!$D$5:$D$266,$C8),"")</f>
        <v>29024</v>
      </c>
      <c r="G8" s="36" t="n">
        <f aca="false">IFERROR(_xlfn.MAXIFS('All Cars'!$H$5:$H$266,'All Cars'!$E$5:$E$266,$A8,'All Cars'!$F$5:$F$266,$B8,'All Cars'!$D$5:$D$266,$C8),"")</f>
        <v>38238</v>
      </c>
      <c r="H8" s="37" t="n">
        <f aca="false">IFERROR(AVERAGEIFS('All Cars'!$I$5:$I$266,'All Cars'!$E$5:$E$266,$A8,'All Cars'!$F$5:$F$266,$B8,'All Cars'!$D$5:$D$266,$C8),"")</f>
        <v>30774.3333333333</v>
      </c>
      <c r="I8" s="39" t="n">
        <f aca="false">IFERROR(AVERAGEIFS('All Cars'!$B$5:$B$266,'All Cars'!$E$5:$E$266,$A8,'All Cars'!$F$5:$F$266,$B8,'All Cars'!$D$5:$D$266,$C8),"")</f>
        <v>56.7055555555556</v>
      </c>
      <c r="J8" s="33" t="n">
        <f aca="false">COUNTIFS('All Cars'!$E$5:$E$266,$A8,'All Cars'!$F$5:$F$266,$B8,'All Cars'!$D$5:$D$266,$C8,'All Cars'!$K$5:$K$266,"Yes")</f>
        <v>2</v>
      </c>
      <c r="K8" s="33" t="n">
        <f aca="false">COUNTIFS('All Cars'!$E$5:$E$266,$A8,'All Cars'!$F$5:$F$266,$B8,'All Cars'!$D$5:$D$266,$C8,'All Cars'!$C$5:$C$266,"YES")</f>
        <v>8</v>
      </c>
    </row>
    <row r="9" customFormat="false" ht="15" hidden="false" customHeight="false" outlineLevel="0" collapsed="false">
      <c r="A9" s="35" t="s">
        <v>94</v>
      </c>
      <c r="B9" s="35" t="s">
        <v>232</v>
      </c>
      <c r="C9" s="33" t="n">
        <v>2026</v>
      </c>
      <c r="D9" s="33" t="n">
        <f aca="false">COUNTIFS('All Cars'!$E$5:$E$266,$A9,'All Cars'!$F$5:$F$266,$B9,'All Cars'!$D$5:$D$266,$C9)</f>
        <v>4</v>
      </c>
      <c r="E9" s="36" t="n">
        <f aca="false">IFERROR(AVERAGEIFS('All Cars'!$H$5:$H$266,'All Cars'!$E$5:$E$266,$A9,'All Cars'!$F$5:$F$266,$B9,'All Cars'!$D$5:$D$266,$C9),"")</f>
        <v>35994.75</v>
      </c>
      <c r="F9" s="36" t="n">
        <f aca="false">IFERROR(_xlfn.MINIFS('All Cars'!$H$5:$H$266,'All Cars'!$E$5:$E$266,$A9,'All Cars'!$F$5:$F$266,$B9,'All Cars'!$D$5:$D$266,$C9),"")</f>
        <v>34661</v>
      </c>
      <c r="G9" s="36" t="n">
        <f aca="false">IFERROR(_xlfn.MAXIFS('All Cars'!$H$5:$H$266,'All Cars'!$E$5:$E$266,$A9,'All Cars'!$F$5:$F$266,$B9,'All Cars'!$D$5:$D$266,$C9),"")</f>
        <v>37990</v>
      </c>
      <c r="H9" s="37" t="n">
        <f aca="false">IFERROR(AVERAGEIFS('All Cars'!$I$5:$I$266,'All Cars'!$E$5:$E$266,$A9,'All Cars'!$F$5:$F$266,$B9,'All Cars'!$D$5:$D$266,$C9),"")</f>
        <v>14458.5</v>
      </c>
      <c r="I9" s="39" t="n">
        <f aca="false">IFERROR(AVERAGEIFS('All Cars'!$B$5:$B$266,'All Cars'!$E$5:$E$266,$A9,'All Cars'!$F$5:$F$266,$B9,'All Cars'!$D$5:$D$266,$C9),"")</f>
        <v>65.375</v>
      </c>
      <c r="J9" s="33" t="n">
        <f aca="false">COUNTIFS('All Cars'!$E$5:$E$266,$A9,'All Cars'!$F$5:$F$266,$B9,'All Cars'!$D$5:$D$266,$C9,'All Cars'!$K$5:$K$266,"Yes")</f>
        <v>1</v>
      </c>
      <c r="K9" s="33" t="n">
        <f aca="false">COUNTIFS('All Cars'!$E$5:$E$266,$A9,'All Cars'!$F$5:$F$266,$B9,'All Cars'!$D$5:$D$266,$C9,'All Cars'!$C$5:$C$266,"YES")</f>
        <v>2</v>
      </c>
    </row>
    <row r="10" customFormat="false" ht="15" hidden="false" customHeight="false" outlineLevel="0" collapsed="false">
      <c r="A10" s="35" t="s">
        <v>94</v>
      </c>
      <c r="B10" s="35" t="s">
        <v>233</v>
      </c>
      <c r="C10" s="33" t="n">
        <v>2023</v>
      </c>
      <c r="D10" s="33" t="n">
        <f aca="false">COUNTIFS('All Cars'!$E$5:$E$266,$A10,'All Cars'!$F$5:$F$266,$B10,'All Cars'!$D$5:$D$266,$C10)</f>
        <v>3</v>
      </c>
      <c r="E10" s="36" t="n">
        <f aca="false">IFERROR(AVERAGEIFS('All Cars'!$H$5:$H$266,'All Cars'!$E$5:$E$266,$A10,'All Cars'!$F$5:$F$266,$B10,'All Cars'!$D$5:$D$266,$C10),"")</f>
        <v>24575.3333333333</v>
      </c>
      <c r="F10" s="36" t="n">
        <f aca="false">IFERROR(_xlfn.MINIFS('All Cars'!$H$5:$H$266,'All Cars'!$E$5:$E$266,$A10,'All Cars'!$F$5:$F$266,$B10,'All Cars'!$D$5:$D$266,$C10),"")</f>
        <v>22144</v>
      </c>
      <c r="G10" s="36" t="n">
        <f aca="false">IFERROR(_xlfn.MAXIFS('All Cars'!$H$5:$H$266,'All Cars'!$E$5:$E$266,$A10,'All Cars'!$F$5:$F$266,$B10,'All Cars'!$D$5:$D$266,$C10),"")</f>
        <v>28814</v>
      </c>
      <c r="H10" s="37" t="n">
        <f aca="false">IFERROR(AVERAGEIFS('All Cars'!$I$5:$I$266,'All Cars'!$E$5:$E$266,$A10,'All Cars'!$F$5:$F$266,$B10,'All Cars'!$D$5:$D$266,$C10),"")</f>
        <v>51929.6666666667</v>
      </c>
      <c r="I10" s="39" t="n">
        <f aca="false">IFERROR(AVERAGEIFS('All Cars'!$B$5:$B$266,'All Cars'!$E$5:$E$266,$A10,'All Cars'!$F$5:$F$266,$B10,'All Cars'!$D$5:$D$266,$C10),"")</f>
        <v>52.9</v>
      </c>
      <c r="J10" s="33" t="n">
        <f aca="false">COUNTIFS('All Cars'!$E$5:$E$266,$A10,'All Cars'!$F$5:$F$266,$B10,'All Cars'!$D$5:$D$266,$C10,'All Cars'!$K$5:$K$266,"Yes")</f>
        <v>1</v>
      </c>
      <c r="K10" s="33" t="n">
        <f aca="false">COUNTIFS('All Cars'!$E$5:$E$266,$A10,'All Cars'!$F$5:$F$266,$B10,'All Cars'!$D$5:$D$266,$C10,'All Cars'!$C$5:$C$266,"YES")</f>
        <v>0</v>
      </c>
    </row>
    <row r="11" customFormat="false" ht="15" hidden="false" customHeight="false" outlineLevel="0" collapsed="false">
      <c r="A11" s="35" t="s">
        <v>94</v>
      </c>
      <c r="B11" s="35" t="s">
        <v>233</v>
      </c>
      <c r="C11" s="33" t="n">
        <v>2024</v>
      </c>
      <c r="D11" s="33" t="n">
        <f aca="false">COUNTIFS('All Cars'!$E$5:$E$266,$A11,'All Cars'!$F$5:$F$266,$B11,'All Cars'!$D$5:$D$266,$C11)</f>
        <v>10</v>
      </c>
      <c r="E11" s="36" t="n">
        <f aca="false">IFERROR(AVERAGEIFS('All Cars'!$H$5:$H$266,'All Cars'!$E$5:$E$266,$A11,'All Cars'!$F$5:$F$266,$B11,'All Cars'!$D$5:$D$266,$C11),"")</f>
        <v>26245.9</v>
      </c>
      <c r="F11" s="36" t="n">
        <f aca="false">IFERROR(_xlfn.MINIFS('All Cars'!$H$5:$H$266,'All Cars'!$E$5:$E$266,$A11,'All Cars'!$F$5:$F$266,$B11,'All Cars'!$D$5:$D$266,$C11),"")</f>
        <v>24809</v>
      </c>
      <c r="G11" s="36" t="n">
        <f aca="false">IFERROR(_xlfn.MAXIFS('All Cars'!$H$5:$H$266,'All Cars'!$E$5:$E$266,$A11,'All Cars'!$F$5:$F$266,$B11,'All Cars'!$D$5:$D$266,$C11),"")</f>
        <v>29950</v>
      </c>
      <c r="H11" s="37" t="n">
        <f aca="false">IFERROR(AVERAGEIFS('All Cars'!$I$5:$I$266,'All Cars'!$E$5:$E$266,$A11,'All Cars'!$F$5:$F$266,$B11,'All Cars'!$D$5:$D$266,$C11),"")</f>
        <v>38131.5</v>
      </c>
      <c r="I11" s="39" t="n">
        <f aca="false">IFERROR(AVERAGEIFS('All Cars'!$B$5:$B$266,'All Cars'!$E$5:$E$266,$A11,'All Cars'!$F$5:$F$266,$B11,'All Cars'!$D$5:$D$266,$C11),"")</f>
        <v>50.65</v>
      </c>
      <c r="J11" s="33" t="n">
        <f aca="false">COUNTIFS('All Cars'!$E$5:$E$266,$A11,'All Cars'!$F$5:$F$266,$B11,'All Cars'!$D$5:$D$266,$C11,'All Cars'!$K$5:$K$266,"Yes")</f>
        <v>2</v>
      </c>
      <c r="K11" s="33" t="n">
        <f aca="false">COUNTIFS('All Cars'!$E$5:$E$266,$A11,'All Cars'!$F$5:$F$266,$B11,'All Cars'!$D$5:$D$266,$C11,'All Cars'!$C$5:$C$266,"YES")</f>
        <v>0</v>
      </c>
    </row>
    <row r="12" customFormat="false" ht="15" hidden="false" customHeight="false" outlineLevel="0" collapsed="false">
      <c r="A12" s="35" t="s">
        <v>94</v>
      </c>
      <c r="B12" s="35" t="s">
        <v>233</v>
      </c>
      <c r="C12" s="33" t="n">
        <v>2025</v>
      </c>
      <c r="D12" s="33" t="n">
        <f aca="false">COUNTIFS('All Cars'!$E$5:$E$266,$A12,'All Cars'!$F$5:$F$266,$B12,'All Cars'!$D$5:$D$266,$C12)</f>
        <v>5</v>
      </c>
      <c r="E12" s="36" t="n">
        <f aca="false">IFERROR(AVERAGEIFS('All Cars'!$H$5:$H$266,'All Cars'!$E$5:$E$266,$A12,'All Cars'!$F$5:$F$266,$B12,'All Cars'!$D$5:$D$266,$C12),"")</f>
        <v>26149.2</v>
      </c>
      <c r="F12" s="36" t="n">
        <f aca="false">IFERROR(_xlfn.MINIFS('All Cars'!$H$5:$H$266,'All Cars'!$E$5:$E$266,$A12,'All Cars'!$F$5:$F$266,$B12,'All Cars'!$D$5:$D$266,$C12),"")</f>
        <v>23869</v>
      </c>
      <c r="G12" s="36" t="n">
        <f aca="false">IFERROR(_xlfn.MAXIFS('All Cars'!$H$5:$H$266,'All Cars'!$E$5:$E$266,$A12,'All Cars'!$F$5:$F$266,$B12,'All Cars'!$D$5:$D$266,$C12),"")</f>
        <v>27738</v>
      </c>
      <c r="H12" s="37" t="n">
        <f aca="false">IFERROR(AVERAGEIFS('All Cars'!$I$5:$I$266,'All Cars'!$E$5:$E$266,$A12,'All Cars'!$F$5:$F$266,$B12,'All Cars'!$D$5:$D$266,$C12),"")</f>
        <v>32718</v>
      </c>
      <c r="I12" s="39" t="n">
        <f aca="false">IFERROR(AVERAGEIFS('All Cars'!$B$5:$B$266,'All Cars'!$E$5:$E$266,$A12,'All Cars'!$F$5:$F$266,$B12,'All Cars'!$D$5:$D$266,$C12),"")</f>
        <v>49.84</v>
      </c>
      <c r="J12" s="33" t="n">
        <f aca="false">COUNTIFS('All Cars'!$E$5:$E$266,$A12,'All Cars'!$F$5:$F$266,$B12,'All Cars'!$D$5:$D$266,$C12,'All Cars'!$K$5:$K$266,"Yes")</f>
        <v>1</v>
      </c>
      <c r="K12" s="33" t="n">
        <f aca="false">COUNTIFS('All Cars'!$E$5:$E$266,$A12,'All Cars'!$F$5:$F$266,$B12,'All Cars'!$D$5:$D$266,$C12,'All Cars'!$C$5:$C$266,"YES")</f>
        <v>1</v>
      </c>
    </row>
    <row r="13" customFormat="false" ht="15" hidden="false" customHeight="false" outlineLevel="0" collapsed="false">
      <c r="A13" s="35" t="s">
        <v>95</v>
      </c>
      <c r="B13" s="35" t="s">
        <v>234</v>
      </c>
      <c r="C13" s="33" t="n">
        <v>2022</v>
      </c>
      <c r="D13" s="33" t="n">
        <f aca="false">COUNTIFS('All Cars'!$E$5:$E$266,$A13,'All Cars'!$F$5:$F$266,$B13,'All Cars'!$D$5:$D$266,$C13)</f>
        <v>3</v>
      </c>
      <c r="E13" s="36" t="n">
        <f aca="false">IFERROR(AVERAGEIFS('All Cars'!$H$5:$H$266,'All Cars'!$E$5:$E$266,$A13,'All Cars'!$F$5:$F$266,$B13,'All Cars'!$D$5:$D$266,$C13),"")</f>
        <v>22204.3333333333</v>
      </c>
      <c r="F13" s="36" t="n">
        <f aca="false">IFERROR(_xlfn.MINIFS('All Cars'!$H$5:$H$266,'All Cars'!$E$5:$E$266,$A13,'All Cars'!$F$5:$F$266,$B13,'All Cars'!$D$5:$D$266,$C13),"")</f>
        <v>20309</v>
      </c>
      <c r="G13" s="36" t="n">
        <f aca="false">IFERROR(_xlfn.MAXIFS('All Cars'!$H$5:$H$266,'All Cars'!$E$5:$E$266,$A13,'All Cars'!$F$5:$F$266,$B13,'All Cars'!$D$5:$D$266,$C13),"")</f>
        <v>23995</v>
      </c>
      <c r="H13" s="37" t="n">
        <f aca="false">IFERROR(AVERAGEIFS('All Cars'!$I$5:$I$266,'All Cars'!$E$5:$E$266,$A13,'All Cars'!$F$5:$F$266,$B13,'All Cars'!$D$5:$D$266,$C13),"")</f>
        <v>64580.6666666667</v>
      </c>
      <c r="I13" s="39" t="n">
        <f aca="false">IFERROR(AVERAGEIFS('All Cars'!$B$5:$B$266,'All Cars'!$E$5:$E$266,$A13,'All Cars'!$F$5:$F$266,$B13,'All Cars'!$D$5:$D$266,$C13),"")</f>
        <v>42.2</v>
      </c>
      <c r="J13" s="33" t="n">
        <f aca="false">COUNTIFS('All Cars'!$E$5:$E$266,$A13,'All Cars'!$F$5:$F$266,$B13,'All Cars'!$D$5:$D$266,$C13,'All Cars'!$K$5:$K$266,"Yes")</f>
        <v>0</v>
      </c>
      <c r="K13" s="33" t="n">
        <f aca="false">COUNTIFS('All Cars'!$E$5:$E$266,$A13,'All Cars'!$F$5:$F$266,$B13,'All Cars'!$D$5:$D$266,$C13,'All Cars'!$C$5:$C$266,"YES")</f>
        <v>0</v>
      </c>
    </row>
    <row r="14" customFormat="false" ht="15" hidden="false" customHeight="false" outlineLevel="0" collapsed="false">
      <c r="A14" s="35" t="s">
        <v>95</v>
      </c>
      <c r="B14" s="35" t="s">
        <v>234</v>
      </c>
      <c r="C14" s="33" t="n">
        <v>2023</v>
      </c>
      <c r="D14" s="33" t="n">
        <f aca="false">COUNTIFS('All Cars'!$E$5:$E$266,$A14,'All Cars'!$F$5:$F$266,$B14,'All Cars'!$D$5:$D$266,$C14)</f>
        <v>12</v>
      </c>
      <c r="E14" s="36" t="n">
        <f aca="false">IFERROR(AVERAGEIFS('All Cars'!$H$5:$H$266,'All Cars'!$E$5:$E$266,$A14,'All Cars'!$F$5:$F$266,$B14,'All Cars'!$D$5:$D$266,$C14),"")</f>
        <v>23907.8333333333</v>
      </c>
      <c r="F14" s="36" t="n">
        <f aca="false">IFERROR(_xlfn.MINIFS('All Cars'!$H$5:$H$266,'All Cars'!$E$5:$E$266,$A14,'All Cars'!$F$5:$F$266,$B14,'All Cars'!$D$5:$D$266,$C14),"")</f>
        <v>19645</v>
      </c>
      <c r="G14" s="36" t="n">
        <f aca="false">IFERROR(_xlfn.MAXIFS('All Cars'!$H$5:$H$266,'All Cars'!$E$5:$E$266,$A14,'All Cars'!$F$5:$F$266,$B14,'All Cars'!$D$5:$D$266,$C14),"")</f>
        <v>27814</v>
      </c>
      <c r="H14" s="37" t="n">
        <f aca="false">IFERROR(AVERAGEIFS('All Cars'!$I$5:$I$266,'All Cars'!$E$5:$E$266,$A14,'All Cars'!$F$5:$F$266,$B14,'All Cars'!$D$5:$D$266,$C14),"")</f>
        <v>68709.3333333333</v>
      </c>
      <c r="I14" s="39" t="n">
        <f aca="false">IFERROR(AVERAGEIFS('All Cars'!$B$5:$B$266,'All Cars'!$E$5:$E$266,$A14,'All Cars'!$F$5:$F$266,$B14,'All Cars'!$D$5:$D$266,$C14),"")</f>
        <v>42.675</v>
      </c>
      <c r="J14" s="33" t="n">
        <f aca="false">COUNTIFS('All Cars'!$E$5:$E$266,$A14,'All Cars'!$F$5:$F$266,$B14,'All Cars'!$D$5:$D$266,$C14,'All Cars'!$K$5:$K$266,"Yes")</f>
        <v>0</v>
      </c>
      <c r="K14" s="33" t="n">
        <f aca="false">COUNTIFS('All Cars'!$E$5:$E$266,$A14,'All Cars'!$F$5:$F$266,$B14,'All Cars'!$D$5:$D$266,$C14,'All Cars'!$C$5:$C$266,"YES")</f>
        <v>1</v>
      </c>
    </row>
    <row r="15" customFormat="false" ht="15" hidden="false" customHeight="false" outlineLevel="0" collapsed="false">
      <c r="A15" s="35" t="s">
        <v>95</v>
      </c>
      <c r="B15" s="35" t="s">
        <v>234</v>
      </c>
      <c r="C15" s="33" t="n">
        <v>2024</v>
      </c>
      <c r="D15" s="33" t="n">
        <f aca="false">COUNTIFS('All Cars'!$E$5:$E$266,$A15,'All Cars'!$F$5:$F$266,$B15,'All Cars'!$D$5:$D$266,$C15)</f>
        <v>23</v>
      </c>
      <c r="E15" s="36" t="n">
        <f aca="false">IFERROR(AVERAGEIFS('All Cars'!$H$5:$H$266,'All Cars'!$E$5:$E$266,$A15,'All Cars'!$F$5:$F$266,$B15,'All Cars'!$D$5:$D$266,$C15),"")</f>
        <v>27278.7826086957</v>
      </c>
      <c r="F15" s="36" t="n">
        <f aca="false">IFERROR(_xlfn.MINIFS('All Cars'!$H$5:$H$266,'All Cars'!$E$5:$E$266,$A15,'All Cars'!$F$5:$F$266,$B15,'All Cars'!$D$5:$D$266,$C15),"")</f>
        <v>20091</v>
      </c>
      <c r="G15" s="36" t="n">
        <f aca="false">IFERROR(_xlfn.MAXIFS('All Cars'!$H$5:$H$266,'All Cars'!$E$5:$E$266,$A15,'All Cars'!$F$5:$F$266,$B15,'All Cars'!$D$5:$D$266,$C15),"")</f>
        <v>33314</v>
      </c>
      <c r="H15" s="37" t="n">
        <f aca="false">IFERROR(AVERAGEIFS('All Cars'!$I$5:$I$266,'All Cars'!$E$5:$E$266,$A15,'All Cars'!$F$5:$F$266,$B15,'All Cars'!$D$5:$D$266,$C15),"")</f>
        <v>51299</v>
      </c>
      <c r="I15" s="39" t="n">
        <f aca="false">IFERROR(AVERAGEIFS('All Cars'!$B$5:$B$266,'All Cars'!$E$5:$E$266,$A15,'All Cars'!$F$5:$F$266,$B15,'All Cars'!$D$5:$D$266,$C15),"")</f>
        <v>46.2521739130435</v>
      </c>
      <c r="J15" s="33" t="n">
        <f aca="false">COUNTIFS('All Cars'!$E$5:$E$266,$A15,'All Cars'!$F$5:$F$266,$B15,'All Cars'!$D$5:$D$266,$C15,'All Cars'!$K$5:$K$266,"Yes")</f>
        <v>0</v>
      </c>
      <c r="K15" s="33" t="n">
        <f aca="false">COUNTIFS('All Cars'!$E$5:$E$266,$A15,'All Cars'!$F$5:$F$266,$B15,'All Cars'!$D$5:$D$266,$C15,'All Cars'!$C$5:$C$266,"YES")</f>
        <v>4</v>
      </c>
    </row>
    <row r="16" customFormat="false" ht="15" hidden="false" customHeight="false" outlineLevel="0" collapsed="false">
      <c r="A16" s="35" t="s">
        <v>95</v>
      </c>
      <c r="B16" s="35" t="s">
        <v>234</v>
      </c>
      <c r="C16" s="33" t="n">
        <v>2025</v>
      </c>
      <c r="D16" s="33" t="n">
        <f aca="false">COUNTIFS('All Cars'!$E$5:$E$266,$A16,'All Cars'!$F$5:$F$266,$B16,'All Cars'!$D$5:$D$266,$C16)</f>
        <v>12</v>
      </c>
      <c r="E16" s="36" t="n">
        <f aca="false">IFERROR(AVERAGEIFS('All Cars'!$H$5:$H$266,'All Cars'!$E$5:$E$266,$A16,'All Cars'!$F$5:$F$266,$B16,'All Cars'!$D$5:$D$266,$C16),"")</f>
        <v>31632</v>
      </c>
      <c r="F16" s="36" t="n">
        <f aca="false">IFERROR(_xlfn.MINIFS('All Cars'!$H$5:$H$266,'All Cars'!$E$5:$E$266,$A16,'All Cars'!$F$5:$F$266,$B16,'All Cars'!$D$5:$D$266,$C16),"")</f>
        <v>27755</v>
      </c>
      <c r="G16" s="36" t="n">
        <f aca="false">IFERROR(_xlfn.MAXIFS('All Cars'!$H$5:$H$266,'All Cars'!$E$5:$E$266,$A16,'All Cars'!$F$5:$F$266,$B16,'All Cars'!$D$5:$D$266,$C16),"")</f>
        <v>36004</v>
      </c>
      <c r="H16" s="37" t="n">
        <f aca="false">IFERROR(AVERAGEIFS('All Cars'!$I$5:$I$266,'All Cars'!$E$5:$E$266,$A16,'All Cars'!$F$5:$F$266,$B16,'All Cars'!$D$5:$D$266,$C16),"")</f>
        <v>26496.0833333333</v>
      </c>
      <c r="I16" s="39" t="n">
        <f aca="false">IFERROR(AVERAGEIFS('All Cars'!$B$5:$B$266,'All Cars'!$E$5:$E$266,$A16,'All Cars'!$F$5:$F$266,$B16,'All Cars'!$D$5:$D$266,$C16),"")</f>
        <v>56.4083333333333</v>
      </c>
      <c r="J16" s="33" t="n">
        <f aca="false">COUNTIFS('All Cars'!$E$5:$E$266,$A16,'All Cars'!$F$5:$F$266,$B16,'All Cars'!$D$5:$D$266,$C16,'All Cars'!$K$5:$K$266,"Yes")</f>
        <v>4</v>
      </c>
      <c r="K16" s="33" t="n">
        <f aca="false">COUNTIFS('All Cars'!$E$5:$E$266,$A16,'All Cars'!$F$5:$F$266,$B16,'All Cars'!$D$5:$D$266,$C16,'All Cars'!$C$5:$C$266,"YES")</f>
        <v>3</v>
      </c>
    </row>
    <row r="17" customFormat="false" ht="15" hidden="false" customHeight="false" outlineLevel="0" collapsed="false">
      <c r="A17" s="35" t="s">
        <v>95</v>
      </c>
      <c r="B17" s="35" t="s">
        <v>234</v>
      </c>
      <c r="C17" s="33" t="n">
        <v>2026</v>
      </c>
      <c r="D17" s="33" t="n">
        <f aca="false">COUNTIFS('All Cars'!$E$5:$E$266,$A17,'All Cars'!$F$5:$F$266,$B17,'All Cars'!$D$5:$D$266,$C17)</f>
        <v>1</v>
      </c>
      <c r="E17" s="36" t="n">
        <f aca="false">IFERROR(AVERAGEIFS('All Cars'!$H$5:$H$266,'All Cars'!$E$5:$E$266,$A17,'All Cars'!$F$5:$F$266,$B17,'All Cars'!$D$5:$D$266,$C17),"")</f>
        <v>35268</v>
      </c>
      <c r="F17" s="36" t="n">
        <f aca="false">IFERROR(_xlfn.MINIFS('All Cars'!$H$5:$H$266,'All Cars'!$E$5:$E$266,$A17,'All Cars'!$F$5:$F$266,$B17,'All Cars'!$D$5:$D$266,$C17),"")</f>
        <v>35268</v>
      </c>
      <c r="G17" s="36" t="n">
        <f aca="false">IFERROR(_xlfn.MAXIFS('All Cars'!$H$5:$H$266,'All Cars'!$E$5:$E$266,$A17,'All Cars'!$F$5:$F$266,$B17,'All Cars'!$D$5:$D$266,$C17),"")</f>
        <v>35268</v>
      </c>
      <c r="H17" s="37" t="n">
        <f aca="false">IFERROR(AVERAGEIFS('All Cars'!$I$5:$I$266,'All Cars'!$E$5:$E$266,$A17,'All Cars'!$F$5:$F$266,$B17,'All Cars'!$D$5:$D$266,$C17),"")</f>
        <v>2629</v>
      </c>
      <c r="I17" s="39" t="n">
        <f aca="false">IFERROR(AVERAGEIFS('All Cars'!$B$5:$B$266,'All Cars'!$E$5:$E$266,$A17,'All Cars'!$F$5:$F$266,$B17,'All Cars'!$D$5:$D$266,$C17),"")</f>
        <v>59.1</v>
      </c>
      <c r="J17" s="33" t="n">
        <f aca="false">COUNTIFS('All Cars'!$E$5:$E$266,$A17,'All Cars'!$F$5:$F$266,$B17,'All Cars'!$D$5:$D$266,$C17,'All Cars'!$K$5:$K$266,"Yes")</f>
        <v>0</v>
      </c>
      <c r="K17" s="33" t="n">
        <f aca="false">COUNTIFS('All Cars'!$E$5:$E$266,$A17,'All Cars'!$F$5:$F$266,$B17,'All Cars'!$D$5:$D$266,$C17,'All Cars'!$C$5:$C$266,"YES")</f>
        <v>0</v>
      </c>
    </row>
    <row r="18" customFormat="false" ht="15" hidden="false" customHeight="false" outlineLevel="0" collapsed="false">
      <c r="A18" s="35" t="s">
        <v>92</v>
      </c>
      <c r="B18" s="35" t="s">
        <v>235</v>
      </c>
      <c r="C18" s="33" t="n">
        <v>2022</v>
      </c>
      <c r="D18" s="33" t="n">
        <f aca="false">COUNTIFS('All Cars'!$E$5:$E$266,$A18,'All Cars'!$F$5:$F$266,$B18,'All Cars'!$D$5:$D$266,$C18)</f>
        <v>2</v>
      </c>
      <c r="E18" s="36" t="n">
        <f aca="false">IFERROR(AVERAGEIFS('All Cars'!$H$5:$H$266,'All Cars'!$E$5:$E$266,$A18,'All Cars'!$F$5:$F$266,$B18,'All Cars'!$D$5:$D$266,$C18),"")</f>
        <v>37363</v>
      </c>
      <c r="F18" s="36" t="n">
        <f aca="false">IFERROR(_xlfn.MINIFS('All Cars'!$H$5:$H$266,'All Cars'!$E$5:$E$266,$A18,'All Cars'!$F$5:$F$266,$B18,'All Cars'!$D$5:$D$266,$C18),"")</f>
        <v>36622</v>
      </c>
      <c r="G18" s="36" t="n">
        <f aca="false">IFERROR(_xlfn.MAXIFS('All Cars'!$H$5:$H$266,'All Cars'!$E$5:$E$266,$A18,'All Cars'!$F$5:$F$266,$B18,'All Cars'!$D$5:$D$266,$C18),"")</f>
        <v>38104</v>
      </c>
      <c r="H18" s="37" t="n">
        <f aca="false">IFERROR(AVERAGEIFS('All Cars'!$I$5:$I$266,'All Cars'!$E$5:$E$266,$A18,'All Cars'!$F$5:$F$266,$B18,'All Cars'!$D$5:$D$266,$C18),"")</f>
        <v>80185.5</v>
      </c>
      <c r="I18" s="39" t="n">
        <f aca="false">IFERROR(AVERAGEIFS('All Cars'!$B$5:$B$266,'All Cars'!$E$5:$E$266,$A18,'All Cars'!$F$5:$F$266,$B18,'All Cars'!$D$5:$D$266,$C18),"")</f>
        <v>54</v>
      </c>
      <c r="J18" s="33" t="n">
        <f aca="false">COUNTIFS('All Cars'!$E$5:$E$266,$A18,'All Cars'!$F$5:$F$266,$B18,'All Cars'!$D$5:$D$266,$C18,'All Cars'!$K$5:$K$266,"Yes")</f>
        <v>1</v>
      </c>
      <c r="K18" s="33" t="n">
        <f aca="false">COUNTIFS('All Cars'!$E$5:$E$266,$A18,'All Cars'!$F$5:$F$266,$B18,'All Cars'!$D$5:$D$266,$C18,'All Cars'!$C$5:$C$266,"YES")</f>
        <v>1</v>
      </c>
    </row>
    <row r="19" customFormat="false" ht="15" hidden="false" customHeight="false" outlineLevel="0" collapsed="false">
      <c r="A19" s="35" t="s">
        <v>92</v>
      </c>
      <c r="B19" s="35" t="s">
        <v>235</v>
      </c>
      <c r="C19" s="33" t="n">
        <v>2023</v>
      </c>
      <c r="D19" s="33" t="n">
        <f aca="false">COUNTIFS('All Cars'!$E$5:$E$266,$A19,'All Cars'!$F$5:$F$266,$B19,'All Cars'!$D$5:$D$266,$C19)</f>
        <v>2</v>
      </c>
      <c r="E19" s="36" t="n">
        <f aca="false">IFERROR(AVERAGEIFS('All Cars'!$H$5:$H$266,'All Cars'!$E$5:$E$266,$A19,'All Cars'!$F$5:$F$266,$B19,'All Cars'!$D$5:$D$266,$C19),"")</f>
        <v>35593.5</v>
      </c>
      <c r="F19" s="36" t="n">
        <f aca="false">IFERROR(_xlfn.MINIFS('All Cars'!$H$5:$H$266,'All Cars'!$E$5:$E$266,$A19,'All Cars'!$F$5:$F$266,$B19,'All Cars'!$D$5:$D$266,$C19),"")</f>
        <v>34061</v>
      </c>
      <c r="G19" s="36" t="n">
        <f aca="false">IFERROR(_xlfn.MAXIFS('All Cars'!$H$5:$H$266,'All Cars'!$E$5:$E$266,$A19,'All Cars'!$F$5:$F$266,$B19,'All Cars'!$D$5:$D$266,$C19),"")</f>
        <v>37126</v>
      </c>
      <c r="H19" s="37" t="n">
        <f aca="false">IFERROR(AVERAGEIFS('All Cars'!$I$5:$I$266,'All Cars'!$E$5:$E$266,$A19,'All Cars'!$F$5:$F$266,$B19,'All Cars'!$D$5:$D$266,$C19),"")</f>
        <v>49992</v>
      </c>
      <c r="I19" s="39" t="n">
        <f aca="false">IFERROR(AVERAGEIFS('All Cars'!$B$5:$B$266,'All Cars'!$E$5:$E$266,$A19,'All Cars'!$F$5:$F$266,$B19,'All Cars'!$D$5:$D$266,$C19),"")</f>
        <v>50.1</v>
      </c>
      <c r="J19" s="33" t="n">
        <f aca="false">COUNTIFS('All Cars'!$E$5:$E$266,$A19,'All Cars'!$F$5:$F$266,$B19,'All Cars'!$D$5:$D$266,$C19,'All Cars'!$K$5:$K$266,"Yes")</f>
        <v>0</v>
      </c>
      <c r="K19" s="33" t="n">
        <f aca="false">COUNTIFS('All Cars'!$E$5:$E$266,$A19,'All Cars'!$F$5:$F$266,$B19,'All Cars'!$D$5:$D$266,$C19,'All Cars'!$C$5:$C$266,"YES")</f>
        <v>0</v>
      </c>
    </row>
    <row r="20" customFormat="false" ht="15" hidden="false" customHeight="false" outlineLevel="0" collapsed="false">
      <c r="A20" s="35" t="s">
        <v>92</v>
      </c>
      <c r="B20" s="35" t="s">
        <v>236</v>
      </c>
      <c r="C20" s="33" t="n">
        <v>2022</v>
      </c>
      <c r="D20" s="33" t="n">
        <f aca="false">COUNTIFS('All Cars'!$E$5:$E$266,$A20,'All Cars'!$F$5:$F$266,$B20,'All Cars'!$D$5:$D$266,$C20)</f>
        <v>25</v>
      </c>
      <c r="E20" s="36" t="n">
        <f aca="false">IFERROR(AVERAGEIFS('All Cars'!$H$5:$H$266,'All Cars'!$E$5:$E$266,$A20,'All Cars'!$F$5:$F$266,$B20,'All Cars'!$D$5:$D$266,$C20),"")</f>
        <v>27097</v>
      </c>
      <c r="F20" s="36" t="n">
        <f aca="false">IFERROR(_xlfn.MINIFS('All Cars'!$H$5:$H$266,'All Cars'!$E$5:$E$266,$A20,'All Cars'!$F$5:$F$266,$B20,'All Cars'!$D$5:$D$266,$C20),"")</f>
        <v>20313</v>
      </c>
      <c r="G20" s="36" t="n">
        <f aca="false">IFERROR(_xlfn.MAXIFS('All Cars'!$H$5:$H$266,'All Cars'!$E$5:$E$266,$A20,'All Cars'!$F$5:$F$266,$B20,'All Cars'!$D$5:$D$266,$C20),"")</f>
        <v>34809</v>
      </c>
      <c r="H20" s="37" t="n">
        <f aca="false">IFERROR(AVERAGEIFS('All Cars'!$I$5:$I$266,'All Cars'!$E$5:$E$266,$A20,'All Cars'!$F$5:$F$266,$B20,'All Cars'!$D$5:$D$266,$C20),"")</f>
        <v>73670.6</v>
      </c>
      <c r="I20" s="39" t="n">
        <f aca="false">IFERROR(AVERAGEIFS('All Cars'!$B$5:$B$266,'All Cars'!$E$5:$E$266,$A20,'All Cars'!$F$5:$F$266,$B20,'All Cars'!$D$5:$D$266,$C20),"")</f>
        <v>48.356</v>
      </c>
      <c r="J20" s="33" t="n">
        <f aca="false">COUNTIFS('All Cars'!$E$5:$E$266,$A20,'All Cars'!$F$5:$F$266,$B20,'All Cars'!$D$5:$D$266,$C20,'All Cars'!$K$5:$K$266,"Yes")</f>
        <v>0</v>
      </c>
      <c r="K20" s="33" t="n">
        <f aca="false">COUNTIFS('All Cars'!$E$5:$E$266,$A20,'All Cars'!$F$5:$F$266,$B20,'All Cars'!$D$5:$D$266,$C20,'All Cars'!$C$5:$C$266,"YES")</f>
        <v>0</v>
      </c>
    </row>
    <row r="21" customFormat="false" ht="15" hidden="false" customHeight="false" outlineLevel="0" collapsed="false">
      <c r="A21" s="35" t="s">
        <v>92</v>
      </c>
      <c r="B21" s="35" t="s">
        <v>236</v>
      </c>
      <c r="C21" s="33" t="n">
        <v>2023</v>
      </c>
      <c r="D21" s="33" t="n">
        <f aca="false">COUNTIFS('All Cars'!$E$5:$E$266,$A21,'All Cars'!$F$5:$F$266,$B21,'All Cars'!$D$5:$D$266,$C21)</f>
        <v>12</v>
      </c>
      <c r="E21" s="36" t="n">
        <f aca="false">IFERROR(AVERAGEIFS('All Cars'!$H$5:$H$266,'All Cars'!$E$5:$E$266,$A21,'All Cars'!$F$5:$F$266,$B21,'All Cars'!$D$5:$D$266,$C21),"")</f>
        <v>30384.3333333333</v>
      </c>
      <c r="F21" s="36" t="n">
        <f aca="false">IFERROR(_xlfn.MINIFS('All Cars'!$H$5:$H$266,'All Cars'!$E$5:$E$266,$A21,'All Cars'!$F$5:$F$266,$B21,'All Cars'!$D$5:$D$266,$C21),"")</f>
        <v>24864</v>
      </c>
      <c r="G21" s="36" t="n">
        <f aca="false">IFERROR(_xlfn.MAXIFS('All Cars'!$H$5:$H$266,'All Cars'!$E$5:$E$266,$A21,'All Cars'!$F$5:$F$266,$B21,'All Cars'!$D$5:$D$266,$C21),"")</f>
        <v>36406</v>
      </c>
      <c r="H21" s="37" t="n">
        <f aca="false">IFERROR(AVERAGEIFS('All Cars'!$I$5:$I$266,'All Cars'!$E$5:$E$266,$A21,'All Cars'!$F$5:$F$266,$B21,'All Cars'!$D$5:$D$266,$C21),"")</f>
        <v>74724.0833333333</v>
      </c>
      <c r="I21" s="39" t="n">
        <f aca="false">IFERROR(AVERAGEIFS('All Cars'!$B$5:$B$266,'All Cars'!$E$5:$E$266,$A21,'All Cars'!$F$5:$F$266,$B21,'All Cars'!$D$5:$D$266,$C21),"")</f>
        <v>44.0833333333333</v>
      </c>
      <c r="J21" s="33" t="n">
        <f aca="false">COUNTIFS('All Cars'!$E$5:$E$266,$A21,'All Cars'!$F$5:$F$266,$B21,'All Cars'!$D$5:$D$266,$C21,'All Cars'!$K$5:$K$266,"Yes")</f>
        <v>0</v>
      </c>
      <c r="K21" s="33" t="n">
        <f aca="false">COUNTIFS('All Cars'!$E$5:$E$266,$A21,'All Cars'!$F$5:$F$266,$B21,'All Cars'!$D$5:$D$266,$C21,'All Cars'!$C$5:$C$266,"YES")</f>
        <v>0</v>
      </c>
    </row>
    <row r="22" customFormat="false" ht="15" hidden="false" customHeight="false" outlineLevel="0" collapsed="false">
      <c r="A22" s="35" t="s">
        <v>92</v>
      </c>
      <c r="B22" s="35" t="s">
        <v>236</v>
      </c>
      <c r="C22" s="33" t="n">
        <v>2024</v>
      </c>
      <c r="D22" s="33" t="n">
        <f aca="false">COUNTIFS('All Cars'!$E$5:$E$266,$A22,'All Cars'!$F$5:$F$266,$B22,'All Cars'!$D$5:$D$266,$C22)</f>
        <v>24</v>
      </c>
      <c r="E22" s="36" t="n">
        <f aca="false">IFERROR(AVERAGEIFS('All Cars'!$H$5:$H$266,'All Cars'!$E$5:$E$266,$A22,'All Cars'!$F$5:$F$266,$B22,'All Cars'!$D$5:$D$266,$C22),"")</f>
        <v>31449.5833333333</v>
      </c>
      <c r="F22" s="36" t="n">
        <f aca="false">IFERROR(_xlfn.MINIFS('All Cars'!$H$5:$H$266,'All Cars'!$E$5:$E$266,$A22,'All Cars'!$F$5:$F$266,$B22,'All Cars'!$D$5:$D$266,$C22),"")</f>
        <v>26946</v>
      </c>
      <c r="G22" s="36" t="n">
        <f aca="false">IFERROR(_xlfn.MAXIFS('All Cars'!$H$5:$H$266,'All Cars'!$E$5:$E$266,$A22,'All Cars'!$F$5:$F$266,$B22,'All Cars'!$D$5:$D$266,$C22),"")</f>
        <v>39338</v>
      </c>
      <c r="H22" s="37" t="n">
        <f aca="false">IFERROR(AVERAGEIFS('All Cars'!$I$5:$I$266,'All Cars'!$E$5:$E$266,$A22,'All Cars'!$F$5:$F$266,$B22,'All Cars'!$D$5:$D$266,$C22),"")</f>
        <v>60977.25</v>
      </c>
      <c r="I22" s="39" t="n">
        <f aca="false">IFERROR(AVERAGEIFS('All Cars'!$B$5:$B$266,'All Cars'!$E$5:$E$266,$A22,'All Cars'!$F$5:$F$266,$B22,'All Cars'!$D$5:$D$266,$C22),"")</f>
        <v>49.325</v>
      </c>
      <c r="J22" s="33" t="n">
        <f aca="false">COUNTIFS('All Cars'!$E$5:$E$266,$A22,'All Cars'!$F$5:$F$266,$B22,'All Cars'!$D$5:$D$266,$C22,'All Cars'!$K$5:$K$266,"Yes")</f>
        <v>0</v>
      </c>
      <c r="K22" s="33" t="n">
        <f aca="false">COUNTIFS('All Cars'!$E$5:$E$266,$A22,'All Cars'!$F$5:$F$266,$B22,'All Cars'!$D$5:$D$266,$C22,'All Cars'!$C$5:$C$266,"YES")</f>
        <v>1</v>
      </c>
    </row>
    <row r="23" customFormat="false" ht="15" hidden="false" customHeight="false" outlineLevel="0" collapsed="false">
      <c r="A23" s="35" t="s">
        <v>92</v>
      </c>
      <c r="B23" s="35" t="s">
        <v>236</v>
      </c>
      <c r="C23" s="33" t="n">
        <v>2025</v>
      </c>
      <c r="D23" s="33" t="n">
        <f aca="false">COUNTIFS('All Cars'!$E$5:$E$266,$A23,'All Cars'!$F$5:$F$266,$B23,'All Cars'!$D$5:$D$266,$C23)</f>
        <v>60</v>
      </c>
      <c r="E23" s="36" t="n">
        <f aca="false">IFERROR(AVERAGEIFS('All Cars'!$H$5:$H$266,'All Cars'!$E$5:$E$266,$A23,'All Cars'!$F$5:$F$266,$B23,'All Cars'!$D$5:$D$266,$C23),"")</f>
        <v>34114.7166666667</v>
      </c>
      <c r="F23" s="36" t="n">
        <f aca="false">IFERROR(_xlfn.MINIFS('All Cars'!$H$5:$H$266,'All Cars'!$E$5:$E$266,$A23,'All Cars'!$F$5:$F$266,$B23,'All Cars'!$D$5:$D$266,$C23),"")</f>
        <v>27233</v>
      </c>
      <c r="G23" s="36" t="n">
        <f aca="false">IFERROR(_xlfn.MAXIFS('All Cars'!$H$5:$H$266,'All Cars'!$E$5:$E$266,$A23,'All Cars'!$F$5:$F$266,$B23,'All Cars'!$D$5:$D$266,$C23),"")</f>
        <v>39309</v>
      </c>
      <c r="H23" s="37" t="n">
        <f aca="false">IFERROR(AVERAGEIFS('All Cars'!$I$5:$I$266,'All Cars'!$E$5:$E$266,$A23,'All Cars'!$F$5:$F$266,$B23,'All Cars'!$D$5:$D$266,$C23),"")</f>
        <v>35845.4</v>
      </c>
      <c r="I23" s="39" t="n">
        <f aca="false">IFERROR(AVERAGEIFS('All Cars'!$B$5:$B$266,'All Cars'!$E$5:$E$266,$A23,'All Cars'!$F$5:$F$266,$B23,'All Cars'!$D$5:$D$266,$C23),"")</f>
        <v>49.9033333333333</v>
      </c>
      <c r="J23" s="33" t="n">
        <f aca="false">COUNTIFS('All Cars'!$E$5:$E$266,$A23,'All Cars'!$F$5:$F$266,$B23,'All Cars'!$D$5:$D$266,$C23,'All Cars'!$K$5:$K$266,"Yes")</f>
        <v>11</v>
      </c>
      <c r="K23" s="33" t="n">
        <f aca="false">COUNTIFS('All Cars'!$E$5:$E$266,$A23,'All Cars'!$F$5:$F$266,$B23,'All Cars'!$D$5:$D$266,$C23,'All Cars'!$C$5:$C$266,"YES")</f>
        <v>4</v>
      </c>
    </row>
  </sheetData>
  <autoFilter ref="A4:K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11"/>
    <col collapsed="false" customWidth="true" hidden="false" outlineLevel="0" max="4" min="4" style="0" width="7"/>
    <col collapsed="false" customWidth="true" hidden="false" outlineLevel="0" max="5" min="5" style="0" width="9"/>
    <col collapsed="false" customWidth="true" hidden="false" outlineLevel="0" max="6" min="6" style="0" width="11"/>
    <col collapsed="false" customWidth="true" hidden="false" outlineLevel="0" max="7" min="7" style="0" width="18"/>
    <col collapsed="false" customWidth="true" hidden="false" outlineLevel="0" max="8" min="8" style="0" width="11"/>
    <col collapsed="false" customWidth="true" hidden="false" outlineLevel="0" max="10" min="9" style="0" width="10"/>
    <col collapsed="false" customWidth="true" hidden="false" outlineLevel="0" max="11" min="11" style="0" width="7"/>
    <col collapsed="false" customWidth="true" hidden="false" outlineLevel="0" max="12" min="12" style="0" width="11"/>
    <col collapsed="false" customWidth="true" hidden="false" outlineLevel="0" max="13" min="13" style="0" width="10"/>
    <col collapsed="false" customWidth="true" hidden="false" outlineLevel="0" max="14" min="14" style="0" width="7"/>
    <col collapsed="false" customWidth="true" hidden="false" outlineLevel="0" max="16" min="15" style="0" width="12"/>
    <col collapsed="false" customWidth="true" hidden="false" outlineLevel="0" max="17" min="17" style="0" width="10"/>
    <col collapsed="false" customWidth="true" hidden="false" outlineLevel="0" max="19" min="18" style="0" width="11"/>
    <col collapsed="false" customWidth="true" hidden="false" outlineLevel="0" max="20" min="20" style="0" width="12"/>
    <col collapsed="false" customWidth="true" hidden="false" outlineLevel="0" max="21" min="21" style="0" width="8"/>
    <col collapsed="false" customWidth="true" hidden="false" outlineLevel="0" max="24" min="22" style="0" width="12"/>
    <col collapsed="false" customWidth="true" hidden="false" outlineLevel="0" max="36" min="25" style="0" width="13"/>
    <col collapsed="false" customWidth="true" hidden="false" outlineLevel="0" max="37" min="37" style="0" width="12"/>
    <col collapsed="false" customWidth="true" hidden="false" outlineLevel="0" max="38" min="38" style="0" width="11"/>
    <col collapsed="false" customWidth="true" hidden="false" outlineLevel="0" max="39" min="39" style="0" width="12"/>
    <col collapsed="false" customWidth="true" hidden="false" outlineLevel="0" max="40" min="40" style="0" width="30"/>
    <col collapsed="false" customWidth="true" hidden="false" outlineLevel="0" max="41" min="41" style="0" width="15"/>
    <col collapsed="false" customWidth="true" hidden="false" outlineLevel="0" max="42" min="42" style="0" width="6"/>
    <col collapsed="false" customWidth="true" hidden="false" outlineLevel="0" max="43" min="43" style="0" width="11"/>
    <col collapsed="false" customWidth="true" hidden="false" outlineLevel="0" max="44" min="44" style="0" width="12"/>
    <col collapsed="false" customWidth="true" hidden="false" outlineLevel="0" max="46" min="45" style="0" width="11"/>
    <col collapsed="false" customWidth="true" hidden="false" outlineLevel="0" max="47" min="47" style="0" width="12"/>
    <col collapsed="false" customWidth="true" hidden="false" outlineLevel="0" max="48" min="48" style="0" width="9"/>
    <col collapsed="false" customWidth="true" hidden="false" outlineLevel="0" max="49" min="49" style="0" width="13"/>
    <col collapsed="false" customWidth="true" hidden="false" outlineLevel="0" max="50" min="50" style="0" width="11"/>
    <col collapsed="false" customWidth="true" hidden="false" outlineLevel="0" max="52" min="51" style="0" width="12"/>
    <col collapsed="false" customWidth="true" hidden="false" outlineLevel="0" max="53" min="53" style="0" width="10"/>
    <col collapsed="false" customWidth="true" hidden="false" outlineLevel="0" max="54" min="54" style="0" width="12"/>
    <col collapsed="false" customWidth="true" hidden="false" outlineLevel="0" max="55" min="55" style="0" width="20"/>
    <col collapsed="false" customWidth="true" hidden="false" outlineLevel="0" max="56" min="56" style="0" width="30"/>
    <col collapsed="false" customWidth="true" hidden="false" outlineLevel="0" max="57" min="57" style="0" width="46"/>
  </cols>
  <sheetData>
    <row r="1" customFormat="false" ht="19.7" hidden="false" customHeight="false" outlineLevel="0" collapsed="false">
      <c r="A1" s="1" t="s">
        <v>237</v>
      </c>
    </row>
    <row r="2" customFormat="false" ht="15" hidden="false" customHeight="false" outlineLevel="0" collapsed="false">
      <c r="A2" s="19" t="s">
        <v>238</v>
      </c>
    </row>
    <row r="4" customFormat="false" ht="30" hidden="false" customHeight="true" outlineLevel="0" collapsed="false">
      <c r="A4" s="20" t="s">
        <v>108</v>
      </c>
      <c r="B4" s="20" t="s">
        <v>109</v>
      </c>
      <c r="C4" s="20" t="s">
        <v>239</v>
      </c>
      <c r="D4" s="20" t="s">
        <v>111</v>
      </c>
      <c r="E4" s="20" t="s">
        <v>90</v>
      </c>
      <c r="F4" s="20" t="s">
        <v>112</v>
      </c>
      <c r="G4" s="20" t="s">
        <v>113</v>
      </c>
      <c r="H4" s="20" t="s">
        <v>114</v>
      </c>
      <c r="I4" s="20" t="s">
        <v>41</v>
      </c>
      <c r="J4" s="20" t="s">
        <v>115</v>
      </c>
      <c r="K4" s="20" t="s">
        <v>116</v>
      </c>
      <c r="L4" s="20" t="s">
        <v>210</v>
      </c>
      <c r="M4" s="20" t="s">
        <v>126</v>
      </c>
      <c r="N4" s="20" t="s">
        <v>127</v>
      </c>
      <c r="O4" s="20" t="s">
        <v>117</v>
      </c>
      <c r="P4" s="20" t="s">
        <v>206</v>
      </c>
      <c r="Q4" s="20" t="s">
        <v>118</v>
      </c>
      <c r="R4" s="20" t="s">
        <v>119</v>
      </c>
      <c r="S4" s="20" t="s">
        <v>207</v>
      </c>
      <c r="T4" s="20" t="s">
        <v>208</v>
      </c>
      <c r="U4" s="20" t="s">
        <v>120</v>
      </c>
      <c r="V4" s="20" t="s">
        <v>209</v>
      </c>
      <c r="W4" s="20" t="s">
        <v>121</v>
      </c>
      <c r="X4" s="20" t="s">
        <v>211</v>
      </c>
      <c r="Y4" s="20" t="s">
        <v>240</v>
      </c>
      <c r="Z4" s="20" t="s">
        <v>212</v>
      </c>
      <c r="AA4" s="20" t="s">
        <v>122</v>
      </c>
      <c r="AB4" s="20" t="s">
        <v>125</v>
      </c>
      <c r="AC4" s="20" t="s">
        <v>124</v>
      </c>
      <c r="AD4" s="20" t="s">
        <v>123</v>
      </c>
      <c r="AE4" s="20" t="s">
        <v>213</v>
      </c>
      <c r="AF4" s="20" t="s">
        <v>214</v>
      </c>
      <c r="AG4" s="20" t="s">
        <v>215</v>
      </c>
      <c r="AH4" s="20" t="s">
        <v>241</v>
      </c>
      <c r="AI4" s="20" t="s">
        <v>242</v>
      </c>
      <c r="AJ4" s="20" t="s">
        <v>243</v>
      </c>
      <c r="AK4" s="20" t="s">
        <v>216</v>
      </c>
      <c r="AL4" s="20" t="s">
        <v>217</v>
      </c>
      <c r="AM4" s="20" t="s">
        <v>244</v>
      </c>
      <c r="AN4" s="20" t="s">
        <v>128</v>
      </c>
      <c r="AO4" s="20" t="s">
        <v>129</v>
      </c>
      <c r="AP4" s="20" t="s">
        <v>245</v>
      </c>
      <c r="AQ4" s="20" t="s">
        <v>130</v>
      </c>
      <c r="AR4" s="20" t="s">
        <v>218</v>
      </c>
      <c r="AS4" s="20" t="s">
        <v>219</v>
      </c>
      <c r="AT4" s="20" t="s">
        <v>220</v>
      </c>
      <c r="AU4" s="20" t="s">
        <v>131</v>
      </c>
      <c r="AV4" s="20" t="s">
        <v>246</v>
      </c>
      <c r="AW4" s="20" t="s">
        <v>247</v>
      </c>
      <c r="AX4" s="20" t="s">
        <v>248</v>
      </c>
      <c r="AY4" s="20" t="s">
        <v>249</v>
      </c>
      <c r="AZ4" s="20" t="s">
        <v>250</v>
      </c>
      <c r="BA4" s="20" t="s">
        <v>251</v>
      </c>
      <c r="BB4" s="20" t="s">
        <v>252</v>
      </c>
      <c r="BC4" s="20" t="s">
        <v>253</v>
      </c>
      <c r="BD4" s="20" t="s">
        <v>132</v>
      </c>
      <c r="BE4" s="20" t="s">
        <v>133</v>
      </c>
    </row>
    <row r="5" customFormat="false" ht="15" hidden="false" customHeight="false" outlineLevel="0" collapsed="false">
      <c r="A5" s="33" t="n">
        <f aca="false">RANK(B5,$B$5:$B$266)</f>
        <v>1</v>
      </c>
      <c r="B5" s="34" t="n">
        <f aca="false">ROUND((AW5*'Scoring Weights'!$B$5+AX5*'Scoring Weights'!$B$6+AY5*'Scoring Weights'!$B$7+BA5*'Scoring Weights'!$B$8+AZ5*'Scoring Weights'!$B$9+BB5*'Scoring Weights'!$B$10)/MAX('Scoring Weights'!$B$11,1),1)</f>
        <v>84</v>
      </c>
      <c r="C5" s="35" t="str">
        <f aca="false">IF(AND(H5&lt;='Search Criteria'!$B$5,D5&gt;='Search Criteria'!$B$6,AQ5&lt;='Search Criteria'!$B$7,I5&lt;=INDEX('Search Criteria'!$B$18:$B$20,MATCH(E5,'Search Criteria'!$A$18:$A$20,0)),OR(NOT('Search Criteria'!$B$8),L5&lt;&gt;"FWD"),OR(NOT('Search Criteria'!$B$9),T5="Yes"),OR(NOT('Search Criteria'!$B$10),W5&gt;0),OR(NOT('Search Criteria'!$B$11),X5="Yes"),OR(NOT('Search Criteria'!$B$12),O5="GREAT",O5="GOOD"),OR(NOT('Search Criteria'!$B$13),K5="Yes")),"YES","no")</f>
        <v>YES</v>
      </c>
      <c r="D5" s="33" t="n">
        <v>2026</v>
      </c>
      <c r="E5" s="8" t="s">
        <v>94</v>
      </c>
      <c r="F5" s="8" t="s">
        <v>232</v>
      </c>
      <c r="G5" s="8" t="s">
        <v>254</v>
      </c>
      <c r="H5" s="45" t="n">
        <v>35415</v>
      </c>
      <c r="I5" s="46" t="n">
        <v>12036</v>
      </c>
      <c r="J5" s="37" t="n">
        <f aca="false">IFERROR(ROUND(I5/MAX(2026-D5,0.5),0),"")</f>
        <v>24072</v>
      </c>
      <c r="K5" s="35" t="s">
        <v>255</v>
      </c>
      <c r="L5" s="35" t="s">
        <v>256</v>
      </c>
      <c r="M5" s="35" t="s">
        <v>257</v>
      </c>
      <c r="N5" s="33" t="n">
        <v>29</v>
      </c>
      <c r="O5" s="35" t="s">
        <v>258</v>
      </c>
      <c r="P5" s="45" t="n">
        <v>36351</v>
      </c>
      <c r="Q5" s="38" t="n">
        <v>0.026</v>
      </c>
      <c r="R5" s="35" t="s">
        <v>258</v>
      </c>
      <c r="S5" s="45" t="n">
        <v>190</v>
      </c>
      <c r="T5" s="35" t="s">
        <v>255</v>
      </c>
      <c r="U5" s="33" t="n">
        <v>1</v>
      </c>
      <c r="V5" s="35" t="s">
        <v>255</v>
      </c>
      <c r="W5" s="33" t="n">
        <v>6</v>
      </c>
      <c r="X5" s="35" t="s">
        <v>255</v>
      </c>
      <c r="Y5" s="35" t="s">
        <v>255</v>
      </c>
      <c r="Z5" s="35" t="s">
        <v>259</v>
      </c>
      <c r="AA5" s="35" t="s">
        <v>255</v>
      </c>
      <c r="AB5" s="35" t="s">
        <v>255</v>
      </c>
      <c r="AC5" s="35" t="s">
        <v>255</v>
      </c>
      <c r="AD5" s="35" t="s">
        <v>255</v>
      </c>
      <c r="AE5" s="35" t="s">
        <v>255</v>
      </c>
      <c r="AF5" s="35" t="s">
        <v>259</v>
      </c>
      <c r="AG5" s="35" t="s">
        <v>255</v>
      </c>
      <c r="AH5" s="35" t="s">
        <v>255</v>
      </c>
      <c r="AI5" s="35" t="s">
        <v>255</v>
      </c>
      <c r="AJ5" s="35" t="s">
        <v>259</v>
      </c>
      <c r="AK5" s="8" t="s">
        <v>260</v>
      </c>
      <c r="AL5" s="8" t="s">
        <v>261</v>
      </c>
      <c r="AM5" s="8" t="s">
        <v>262</v>
      </c>
      <c r="AN5" s="8" t="s">
        <v>263</v>
      </c>
      <c r="AO5" s="8" t="s">
        <v>264</v>
      </c>
      <c r="AP5" s="35" t="s">
        <v>265</v>
      </c>
      <c r="AQ5" s="39" t="n">
        <v>0.4</v>
      </c>
      <c r="AR5" s="39" t="n">
        <v>4.6</v>
      </c>
      <c r="AS5" s="33" t="n">
        <v>53</v>
      </c>
      <c r="AT5" s="45" t="n">
        <v>3169</v>
      </c>
      <c r="AU5" s="45" t="n">
        <v>632.64</v>
      </c>
      <c r="AV5" s="45" t="n">
        <v>261</v>
      </c>
      <c r="AW5" s="39" t="n">
        <v>95.2</v>
      </c>
      <c r="AX5" s="39" t="n">
        <v>81.4</v>
      </c>
      <c r="AY5" s="39" t="n">
        <v>58</v>
      </c>
      <c r="AZ5" s="39" t="n">
        <v>78</v>
      </c>
      <c r="BA5" s="39" t="n">
        <v>100</v>
      </c>
      <c r="BB5" s="39" t="n">
        <v>99.4</v>
      </c>
      <c r="BC5" s="8" t="s">
        <v>266</v>
      </c>
      <c r="BD5" s="47" t="s">
        <v>267</v>
      </c>
      <c r="BE5" s="41" t="s">
        <v>135</v>
      </c>
    </row>
    <row r="6" customFormat="false" ht="15" hidden="false" customHeight="false" outlineLevel="0" collapsed="false">
      <c r="A6" s="33" t="n">
        <f aca="false">RANK(B6,$B$5:$B$266)</f>
        <v>2</v>
      </c>
      <c r="B6" s="34" t="n">
        <f aca="false">ROUND((AW6*'Scoring Weights'!$B$5+AX6*'Scoring Weights'!$B$6+AY6*'Scoring Weights'!$B$7+BA6*'Scoring Weights'!$B$8+AZ6*'Scoring Weights'!$B$9+BB6*'Scoring Weights'!$B$10)/MAX('Scoring Weights'!$B$11,1),1)</f>
        <v>72.4</v>
      </c>
      <c r="C6" s="35" t="str">
        <f aca="false">IF(AND(H6&lt;='Search Criteria'!$B$5,D6&gt;='Search Criteria'!$B$6,AQ6&lt;='Search Criteria'!$B$7,I6&lt;=INDEX('Search Criteria'!$B$18:$B$20,MATCH(E6,'Search Criteria'!$A$18:$A$20,0)),OR(NOT('Search Criteria'!$B$8),L6&lt;&gt;"FWD"),OR(NOT('Search Criteria'!$B$9),T6="Yes"),OR(NOT('Search Criteria'!$B$10),W6&gt;0),OR(NOT('Search Criteria'!$B$11),X6="Yes"),OR(NOT('Search Criteria'!$B$12),O6="GREAT",O6="GOOD"),OR(NOT('Search Criteria'!$B$13),K6="Yes")),"YES","no")</f>
        <v>YES</v>
      </c>
      <c r="D6" s="33" t="n">
        <v>2025</v>
      </c>
      <c r="E6" s="8" t="s">
        <v>94</v>
      </c>
      <c r="F6" s="8" t="s">
        <v>232</v>
      </c>
      <c r="G6" s="8" t="s">
        <v>268</v>
      </c>
      <c r="H6" s="45" t="n">
        <v>32809</v>
      </c>
      <c r="I6" s="46" t="n">
        <v>15682</v>
      </c>
      <c r="J6" s="37" t="n">
        <f aca="false">IFERROR(ROUND(I6/MAX(2026-D6,0.5),0),"")</f>
        <v>15682</v>
      </c>
      <c r="K6" s="35" t="s">
        <v>255</v>
      </c>
      <c r="L6" s="35" t="s">
        <v>256</v>
      </c>
      <c r="M6" s="35" t="s">
        <v>257</v>
      </c>
      <c r="N6" s="33" t="n">
        <v>28</v>
      </c>
      <c r="O6" s="35" t="s">
        <v>258</v>
      </c>
      <c r="P6" s="45" t="n">
        <v>34961</v>
      </c>
      <c r="Q6" s="38" t="n">
        <v>0.062</v>
      </c>
      <c r="R6" s="35" t="s">
        <v>258</v>
      </c>
      <c r="S6" s="45" t="n">
        <v>560</v>
      </c>
      <c r="T6" s="35" t="s">
        <v>255</v>
      </c>
      <c r="U6" s="33" t="n">
        <v>1</v>
      </c>
      <c r="V6" s="35" t="s">
        <v>255</v>
      </c>
      <c r="W6" s="33" t="n">
        <v>4</v>
      </c>
      <c r="X6" s="35" t="s">
        <v>255</v>
      </c>
      <c r="Y6" s="35" t="s">
        <v>255</v>
      </c>
      <c r="Z6" s="35" t="s">
        <v>259</v>
      </c>
      <c r="AA6" s="35" t="s">
        <v>255</v>
      </c>
      <c r="AB6" s="35" t="s">
        <v>255</v>
      </c>
      <c r="AC6" s="35" t="s">
        <v>259</v>
      </c>
      <c r="AD6" s="35" t="s">
        <v>259</v>
      </c>
      <c r="AE6" s="35" t="s">
        <v>259</v>
      </c>
      <c r="AF6" s="35" t="s">
        <v>259</v>
      </c>
      <c r="AG6" s="35" t="s">
        <v>259</v>
      </c>
      <c r="AH6" s="35" t="s">
        <v>259</v>
      </c>
      <c r="AI6" s="35" t="s">
        <v>255</v>
      </c>
      <c r="AJ6" s="35" t="s">
        <v>259</v>
      </c>
      <c r="AK6" s="8" t="s">
        <v>269</v>
      </c>
      <c r="AL6" s="8" t="s">
        <v>260</v>
      </c>
      <c r="AM6" s="8" t="s">
        <v>262</v>
      </c>
      <c r="AN6" s="8" t="s">
        <v>270</v>
      </c>
      <c r="AO6" s="8" t="s">
        <v>271</v>
      </c>
      <c r="AP6" s="35" t="s">
        <v>272</v>
      </c>
      <c r="AQ6" s="39" t="n">
        <v>71</v>
      </c>
      <c r="AR6" s="39" t="n">
        <v>4.7</v>
      </c>
      <c r="AS6" s="33" t="n">
        <v>32</v>
      </c>
      <c r="AT6" s="45"/>
      <c r="AU6" s="45" t="n">
        <v>586.09</v>
      </c>
      <c r="AV6" s="45" t="n">
        <v>314</v>
      </c>
      <c r="AW6" s="39" t="n">
        <v>88.6</v>
      </c>
      <c r="AX6" s="39" t="n">
        <v>86.7</v>
      </c>
      <c r="AY6" s="39" t="n">
        <v>60.1</v>
      </c>
      <c r="AZ6" s="39" t="n">
        <v>30</v>
      </c>
      <c r="BA6" s="39" t="n">
        <v>100</v>
      </c>
      <c r="BB6" s="39" t="n">
        <v>5.4</v>
      </c>
      <c r="BC6" s="8" t="s">
        <v>273</v>
      </c>
      <c r="BD6" s="47" t="s">
        <v>274</v>
      </c>
      <c r="BE6" s="41" t="s">
        <v>137</v>
      </c>
    </row>
    <row r="7" customFormat="false" ht="15" hidden="false" customHeight="false" outlineLevel="0" collapsed="false">
      <c r="A7" s="33" t="n">
        <f aca="false">RANK(B7,$B$5:$B$266)</f>
        <v>3</v>
      </c>
      <c r="B7" s="34" t="n">
        <f aca="false">ROUND((AW7*'Scoring Weights'!$B$5+AX7*'Scoring Weights'!$B$6+AY7*'Scoring Weights'!$B$7+BA7*'Scoring Weights'!$B$8+AZ7*'Scoring Weights'!$B$9+BB7*'Scoring Weights'!$B$10)/MAX('Scoring Weights'!$B$11,1),1)</f>
        <v>71.8</v>
      </c>
      <c r="C7" s="35" t="str">
        <f aca="false">IF(AND(H7&lt;='Search Criteria'!$B$5,D7&gt;='Search Criteria'!$B$6,AQ7&lt;='Search Criteria'!$B$7,I7&lt;=INDEX('Search Criteria'!$B$18:$B$20,MATCH(E7,'Search Criteria'!$A$18:$A$20,0)),OR(NOT('Search Criteria'!$B$8),L7&lt;&gt;"FWD"),OR(NOT('Search Criteria'!$B$9),T7="Yes"),OR(NOT('Search Criteria'!$B$10),W7&gt;0),OR(NOT('Search Criteria'!$B$11),X7="Yes"),OR(NOT('Search Criteria'!$B$12),O7="GREAT",O7="GOOD"),OR(NOT('Search Criteria'!$B$13),K7="Yes")),"YES","no")</f>
        <v>no</v>
      </c>
      <c r="D7" s="33" t="n">
        <v>2025</v>
      </c>
      <c r="E7" s="8" t="s">
        <v>95</v>
      </c>
      <c r="F7" s="8" t="s">
        <v>234</v>
      </c>
      <c r="G7" s="8" t="s">
        <v>275</v>
      </c>
      <c r="H7" s="45" t="n">
        <v>36004</v>
      </c>
      <c r="I7" s="46" t="n">
        <v>10034</v>
      </c>
      <c r="J7" s="37" t="n">
        <f aca="false">IFERROR(ROUND(I7/MAX(2026-D7,0.5),0),"")</f>
        <v>10034</v>
      </c>
      <c r="K7" s="35" t="s">
        <v>255</v>
      </c>
      <c r="L7" s="35" t="s">
        <v>256</v>
      </c>
      <c r="M7" s="35" t="s">
        <v>257</v>
      </c>
      <c r="N7" s="33" t="n">
        <v>28</v>
      </c>
      <c r="O7" s="35" t="s">
        <v>276</v>
      </c>
      <c r="P7" s="45" t="n">
        <v>33342</v>
      </c>
      <c r="Q7" s="38" t="n">
        <v>-0.08</v>
      </c>
      <c r="R7" s="35" t="s">
        <v>277</v>
      </c>
      <c r="S7" s="45"/>
      <c r="T7" s="35" t="s">
        <v>255</v>
      </c>
      <c r="U7" s="33"/>
      <c r="V7" s="35" t="s">
        <v>259</v>
      </c>
      <c r="W7" s="33" t="n">
        <v>7</v>
      </c>
      <c r="X7" s="35" t="s">
        <v>255</v>
      </c>
      <c r="Y7" s="35" t="s">
        <v>255</v>
      </c>
      <c r="Z7" s="35" t="s">
        <v>255</v>
      </c>
      <c r="AA7" s="35" t="s">
        <v>255</v>
      </c>
      <c r="AB7" s="35" t="s">
        <v>255</v>
      </c>
      <c r="AC7" s="35" t="s">
        <v>255</v>
      </c>
      <c r="AD7" s="35" t="s">
        <v>255</v>
      </c>
      <c r="AE7" s="35" t="s">
        <v>259</v>
      </c>
      <c r="AF7" s="35" t="s">
        <v>255</v>
      </c>
      <c r="AG7" s="35" t="s">
        <v>259</v>
      </c>
      <c r="AH7" s="35" t="s">
        <v>255</v>
      </c>
      <c r="AI7" s="35" t="s">
        <v>255</v>
      </c>
      <c r="AJ7" s="35" t="s">
        <v>255</v>
      </c>
      <c r="AK7" s="8" t="s">
        <v>261</v>
      </c>
      <c r="AL7" s="8" t="s">
        <v>261</v>
      </c>
      <c r="AM7" s="8" t="s">
        <v>278</v>
      </c>
      <c r="AN7" s="8" t="s">
        <v>279</v>
      </c>
      <c r="AO7" s="8" t="s">
        <v>280</v>
      </c>
      <c r="AP7" s="35" t="s">
        <v>265</v>
      </c>
      <c r="AQ7" s="39" t="n">
        <v>10.8</v>
      </c>
      <c r="AR7" s="39" t="n">
        <v>4.5</v>
      </c>
      <c r="AS7" s="33" t="n">
        <v>138</v>
      </c>
      <c r="AT7" s="45" t="n">
        <v>3413</v>
      </c>
      <c r="AU7" s="45" t="n">
        <v>643.16</v>
      </c>
      <c r="AV7" s="45" t="n">
        <v>261</v>
      </c>
      <c r="AW7" s="39" t="n">
        <v>67.7</v>
      </c>
      <c r="AX7" s="39" t="n">
        <v>44.6</v>
      </c>
      <c r="AY7" s="39" t="n">
        <v>75.9</v>
      </c>
      <c r="AZ7" s="39" t="n">
        <v>82</v>
      </c>
      <c r="BA7" s="39" t="n">
        <v>100</v>
      </c>
      <c r="BB7" s="39" t="n">
        <v>85.6</v>
      </c>
      <c r="BC7" s="8" t="s">
        <v>281</v>
      </c>
      <c r="BD7" s="47" t="s">
        <v>282</v>
      </c>
      <c r="BE7" s="41" t="s">
        <v>283</v>
      </c>
    </row>
    <row r="8" customFormat="false" ht="15" hidden="false" customHeight="false" outlineLevel="0" collapsed="false">
      <c r="A8" s="33" t="n">
        <f aca="false">RANK(B8,$B$5:$B$266)</f>
        <v>4</v>
      </c>
      <c r="B8" s="34" t="n">
        <f aca="false">ROUND((AW8*'Scoring Weights'!$B$5+AX8*'Scoring Weights'!$B$6+AY8*'Scoring Weights'!$B$7+BA8*'Scoring Weights'!$B$8+AZ8*'Scoring Weights'!$B$9+BB8*'Scoring Weights'!$B$10)/MAX('Scoring Weights'!$B$11,1),1)</f>
        <v>70.4</v>
      </c>
      <c r="C8" s="35" t="str">
        <f aca="false">IF(AND(H8&lt;='Search Criteria'!$B$5,D8&gt;='Search Criteria'!$B$6,AQ8&lt;='Search Criteria'!$B$7,I8&lt;=INDEX('Search Criteria'!$B$18:$B$20,MATCH(E8,'Search Criteria'!$A$18:$A$20,0)),OR(NOT('Search Criteria'!$B$8),L8&lt;&gt;"FWD"),OR(NOT('Search Criteria'!$B$9),T8="Yes"),OR(NOT('Search Criteria'!$B$10),W8&gt;0),OR(NOT('Search Criteria'!$B$11),X8="Yes"),OR(NOT('Search Criteria'!$B$12),O8="GREAT",O8="GOOD"),OR(NOT('Search Criteria'!$B$13),K8="Yes")),"YES","no")</f>
        <v>no</v>
      </c>
      <c r="D8" s="33" t="n">
        <v>2025</v>
      </c>
      <c r="E8" s="8" t="s">
        <v>92</v>
      </c>
      <c r="F8" s="8" t="s">
        <v>236</v>
      </c>
      <c r="G8" s="8" t="s">
        <v>284</v>
      </c>
      <c r="H8" s="45" t="n">
        <v>38902</v>
      </c>
      <c r="I8" s="46" t="n">
        <v>15101</v>
      </c>
      <c r="J8" s="37" t="n">
        <f aca="false">IFERROR(ROUND(I8/MAX(2026-D8,0.5),0),"")</f>
        <v>15101</v>
      </c>
      <c r="K8" s="35" t="s">
        <v>255</v>
      </c>
      <c r="L8" s="35" t="s">
        <v>285</v>
      </c>
      <c r="M8" s="35" t="s">
        <v>257</v>
      </c>
      <c r="N8" s="33" t="n">
        <v>30</v>
      </c>
      <c r="O8" s="35" t="s">
        <v>286</v>
      </c>
      <c r="P8" s="45" t="n">
        <v>35966</v>
      </c>
      <c r="Q8" s="38" t="n">
        <v>-0.082</v>
      </c>
      <c r="R8" s="35" t="s">
        <v>258</v>
      </c>
      <c r="S8" s="45" t="n">
        <v>310</v>
      </c>
      <c r="T8" s="35" t="s">
        <v>255</v>
      </c>
      <c r="U8" s="33" t="n">
        <v>1</v>
      </c>
      <c r="V8" s="35" t="s">
        <v>255</v>
      </c>
      <c r="W8" s="33" t="n">
        <v>4</v>
      </c>
      <c r="X8" s="35" t="s">
        <v>259</v>
      </c>
      <c r="Y8" s="35" t="s">
        <v>255</v>
      </c>
      <c r="Z8" s="35" t="s">
        <v>259</v>
      </c>
      <c r="AA8" s="35" t="s">
        <v>255</v>
      </c>
      <c r="AB8" s="35" t="s">
        <v>255</v>
      </c>
      <c r="AC8" s="35" t="s">
        <v>255</v>
      </c>
      <c r="AD8" s="35" t="s">
        <v>255</v>
      </c>
      <c r="AE8" s="35" t="s">
        <v>259</v>
      </c>
      <c r="AF8" s="35" t="s">
        <v>259</v>
      </c>
      <c r="AG8" s="35" t="s">
        <v>259</v>
      </c>
      <c r="AH8" s="35" t="s">
        <v>259</v>
      </c>
      <c r="AI8" s="35" t="s">
        <v>255</v>
      </c>
      <c r="AJ8" s="35" t="s">
        <v>259</v>
      </c>
      <c r="AK8" s="8" t="s">
        <v>261</v>
      </c>
      <c r="AL8" s="8" t="s">
        <v>287</v>
      </c>
      <c r="AM8" s="8" t="s">
        <v>278</v>
      </c>
      <c r="AN8" s="8" t="s">
        <v>288</v>
      </c>
      <c r="AO8" s="8" t="s">
        <v>271</v>
      </c>
      <c r="AP8" s="35" t="s">
        <v>272</v>
      </c>
      <c r="AQ8" s="39" t="n">
        <v>74.7</v>
      </c>
      <c r="AR8" s="39" t="n">
        <v>4.7</v>
      </c>
      <c r="AS8" s="33" t="n">
        <v>46</v>
      </c>
      <c r="AT8" s="45" t="n">
        <v>-903</v>
      </c>
      <c r="AU8" s="45" t="n">
        <v>694.93</v>
      </c>
      <c r="AV8" s="45" t="n">
        <v>314</v>
      </c>
      <c r="AW8" s="39" t="n">
        <v>92.8</v>
      </c>
      <c r="AX8" s="39" t="n">
        <v>53.2</v>
      </c>
      <c r="AY8" s="39" t="n">
        <v>66.7</v>
      </c>
      <c r="AZ8" s="39" t="n">
        <v>54</v>
      </c>
      <c r="BA8" s="39" t="n">
        <v>100</v>
      </c>
      <c r="BB8" s="39" t="n">
        <v>0.4</v>
      </c>
      <c r="BC8" s="8" t="s">
        <v>289</v>
      </c>
      <c r="BD8" s="47" t="s">
        <v>290</v>
      </c>
      <c r="BE8" s="41" t="s">
        <v>291</v>
      </c>
    </row>
    <row r="9" customFormat="false" ht="15" hidden="false" customHeight="false" outlineLevel="0" collapsed="false">
      <c r="A9" s="33" t="n">
        <f aca="false">RANK(B9,$B$5:$B$266)</f>
        <v>5</v>
      </c>
      <c r="B9" s="34" t="n">
        <f aca="false">ROUND((AW9*'Scoring Weights'!$B$5+AX9*'Scoring Weights'!$B$6+AY9*'Scoring Weights'!$B$7+BA9*'Scoring Weights'!$B$8+AZ9*'Scoring Weights'!$B$9+BB9*'Scoring Weights'!$B$10)/MAX('Scoring Weights'!$B$11,1),1)</f>
        <v>70</v>
      </c>
      <c r="C9" s="35" t="str">
        <f aca="false">IF(AND(H9&lt;='Search Criteria'!$B$5,D9&gt;='Search Criteria'!$B$6,AQ9&lt;='Search Criteria'!$B$7,I9&lt;=INDEX('Search Criteria'!$B$18:$B$20,MATCH(E9,'Search Criteria'!$A$18:$A$20,0)),OR(NOT('Search Criteria'!$B$8),L9&lt;&gt;"FWD"),OR(NOT('Search Criteria'!$B$9),T9="Yes"),OR(NOT('Search Criteria'!$B$10),W9&gt;0),OR(NOT('Search Criteria'!$B$11),X9="Yes"),OR(NOT('Search Criteria'!$B$12),O9="GREAT",O9="GOOD"),OR(NOT('Search Criteria'!$B$13),K9="Yes")),"YES","no")</f>
        <v>YES</v>
      </c>
      <c r="D9" s="33" t="n">
        <v>2025</v>
      </c>
      <c r="E9" s="8" t="s">
        <v>95</v>
      </c>
      <c r="F9" s="8" t="s">
        <v>234</v>
      </c>
      <c r="G9" s="8" t="s">
        <v>275</v>
      </c>
      <c r="H9" s="45" t="n">
        <v>32609</v>
      </c>
      <c r="I9" s="46" t="n">
        <v>31763</v>
      </c>
      <c r="J9" s="37" t="n">
        <f aca="false">IFERROR(ROUND(I9/MAX(2026-D9,0.5),0),"")</f>
        <v>31763</v>
      </c>
      <c r="K9" s="35" t="s">
        <v>255</v>
      </c>
      <c r="L9" s="35" t="s">
        <v>256</v>
      </c>
      <c r="M9" s="35" t="s">
        <v>257</v>
      </c>
      <c r="N9" s="33" t="n">
        <v>28</v>
      </c>
      <c r="O9" s="35" t="s">
        <v>286</v>
      </c>
      <c r="P9" s="45" t="n">
        <v>31035</v>
      </c>
      <c r="Q9" s="38" t="n">
        <v>-0.051</v>
      </c>
      <c r="R9" s="35" t="s">
        <v>258</v>
      </c>
      <c r="S9" s="45" t="n">
        <v>120</v>
      </c>
      <c r="T9" s="35" t="s">
        <v>255</v>
      </c>
      <c r="U9" s="33" t="n">
        <v>1</v>
      </c>
      <c r="V9" s="35" t="s">
        <v>255</v>
      </c>
      <c r="W9" s="33" t="n">
        <v>6</v>
      </c>
      <c r="X9" s="35" t="s">
        <v>255</v>
      </c>
      <c r="Y9" s="35" t="s">
        <v>255</v>
      </c>
      <c r="Z9" s="35" t="s">
        <v>255</v>
      </c>
      <c r="AA9" s="35" t="s">
        <v>255</v>
      </c>
      <c r="AB9" s="35" t="s">
        <v>255</v>
      </c>
      <c r="AC9" s="35" t="s">
        <v>255</v>
      </c>
      <c r="AD9" s="35" t="s">
        <v>255</v>
      </c>
      <c r="AE9" s="35" t="s">
        <v>259</v>
      </c>
      <c r="AF9" s="35" t="s">
        <v>255</v>
      </c>
      <c r="AG9" s="35" t="s">
        <v>259</v>
      </c>
      <c r="AH9" s="35" t="s">
        <v>255</v>
      </c>
      <c r="AI9" s="35" t="s">
        <v>255</v>
      </c>
      <c r="AJ9" s="35" t="s">
        <v>255</v>
      </c>
      <c r="AK9" s="8" t="s">
        <v>261</v>
      </c>
      <c r="AL9" s="8" t="s">
        <v>292</v>
      </c>
      <c r="AM9" s="8" t="s">
        <v>278</v>
      </c>
      <c r="AN9" s="8" t="s">
        <v>293</v>
      </c>
      <c r="AO9" s="8" t="s">
        <v>294</v>
      </c>
      <c r="AP9" s="35" t="s">
        <v>272</v>
      </c>
      <c r="AQ9" s="39" t="n">
        <v>42.8</v>
      </c>
      <c r="AR9" s="39"/>
      <c r="AS9" s="33" t="n">
        <v>17</v>
      </c>
      <c r="AT9" s="45" t="n">
        <v>895</v>
      </c>
      <c r="AU9" s="45" t="n">
        <v>582.51</v>
      </c>
      <c r="AV9" s="45"/>
      <c r="AW9" s="39" t="n">
        <v>92.7</v>
      </c>
      <c r="AX9" s="39" t="n">
        <v>57.8</v>
      </c>
      <c r="AY9" s="39" t="n">
        <v>25.5</v>
      </c>
      <c r="AZ9" s="39" t="n">
        <v>82</v>
      </c>
      <c r="BA9" s="39" t="n">
        <v>100</v>
      </c>
      <c r="BB9" s="39" t="n">
        <v>42.9</v>
      </c>
      <c r="BC9" s="8" t="s">
        <v>295</v>
      </c>
      <c r="BD9" s="47" t="s">
        <v>282</v>
      </c>
      <c r="BE9" s="41" t="s">
        <v>139</v>
      </c>
    </row>
    <row r="10" customFormat="false" ht="15" hidden="false" customHeight="false" outlineLevel="0" collapsed="false">
      <c r="A10" s="33" t="n">
        <f aca="false">RANK(B10,$B$5:$B$266)</f>
        <v>6</v>
      </c>
      <c r="B10" s="34" t="n">
        <f aca="false">ROUND((AW10*'Scoring Weights'!$B$5+AX10*'Scoring Weights'!$B$6+AY10*'Scoring Weights'!$B$7+BA10*'Scoring Weights'!$B$8+AZ10*'Scoring Weights'!$B$9+BB10*'Scoring Weights'!$B$10)/MAX('Scoring Weights'!$B$11,1),1)</f>
        <v>69.1</v>
      </c>
      <c r="C10" s="35" t="str">
        <f aca="false">IF(AND(H10&lt;='Search Criteria'!$B$5,D10&gt;='Search Criteria'!$B$6,AQ10&lt;='Search Criteria'!$B$7,I10&lt;=INDEX('Search Criteria'!$B$18:$B$20,MATCH(E10,'Search Criteria'!$A$18:$A$20,0)),OR(NOT('Search Criteria'!$B$8),L10&lt;&gt;"FWD"),OR(NOT('Search Criteria'!$B$9),T10="Yes"),OR(NOT('Search Criteria'!$B$10),W10&gt;0),OR(NOT('Search Criteria'!$B$11),X10="Yes"),OR(NOT('Search Criteria'!$B$12),O10="GREAT",O10="GOOD"),OR(NOT('Search Criteria'!$B$13),K10="Yes")),"YES","no")</f>
        <v>no</v>
      </c>
      <c r="D10" s="33" t="n">
        <v>2025</v>
      </c>
      <c r="E10" s="8" t="s">
        <v>92</v>
      </c>
      <c r="F10" s="8" t="s">
        <v>236</v>
      </c>
      <c r="G10" s="8" t="s">
        <v>296</v>
      </c>
      <c r="H10" s="45" t="n">
        <v>38180</v>
      </c>
      <c r="I10" s="46" t="n">
        <v>17889</v>
      </c>
      <c r="J10" s="37" t="n">
        <f aca="false">IFERROR(ROUND(I10/MAX(2026-D10,0.5),0),"")</f>
        <v>17889</v>
      </c>
      <c r="K10" s="35" t="s">
        <v>255</v>
      </c>
      <c r="L10" s="35" t="s">
        <v>256</v>
      </c>
      <c r="M10" s="35" t="s">
        <v>257</v>
      </c>
      <c r="N10" s="33" t="n">
        <v>28</v>
      </c>
      <c r="O10" s="35" t="s">
        <v>297</v>
      </c>
      <c r="P10" s="45" t="n">
        <v>35743</v>
      </c>
      <c r="Q10" s="38" t="n">
        <v>-0.068</v>
      </c>
      <c r="R10" s="35" t="s">
        <v>258</v>
      </c>
      <c r="S10" s="45" t="n">
        <v>280</v>
      </c>
      <c r="T10" s="35" t="s">
        <v>255</v>
      </c>
      <c r="U10" s="33" t="n">
        <v>1</v>
      </c>
      <c r="V10" s="35" t="s">
        <v>255</v>
      </c>
      <c r="W10" s="33" t="n">
        <v>6</v>
      </c>
      <c r="X10" s="35" t="s">
        <v>255</v>
      </c>
      <c r="Y10" s="35" t="s">
        <v>255</v>
      </c>
      <c r="Z10" s="35" t="s">
        <v>255</v>
      </c>
      <c r="AA10" s="35" t="s">
        <v>255</v>
      </c>
      <c r="AB10" s="35" t="s">
        <v>255</v>
      </c>
      <c r="AC10" s="35" t="s">
        <v>255</v>
      </c>
      <c r="AD10" s="35" t="s">
        <v>259</v>
      </c>
      <c r="AE10" s="35" t="s">
        <v>259</v>
      </c>
      <c r="AF10" s="35" t="s">
        <v>259</v>
      </c>
      <c r="AG10" s="35" t="s">
        <v>259</v>
      </c>
      <c r="AH10" s="35" t="s">
        <v>259</v>
      </c>
      <c r="AI10" s="35" t="s">
        <v>255</v>
      </c>
      <c r="AJ10" s="35" t="s">
        <v>259</v>
      </c>
      <c r="AK10" s="8" t="s">
        <v>260</v>
      </c>
      <c r="AL10" s="8" t="s">
        <v>261</v>
      </c>
      <c r="AM10" s="8" t="s">
        <v>278</v>
      </c>
      <c r="AN10" s="8" t="s">
        <v>298</v>
      </c>
      <c r="AO10" s="8" t="s">
        <v>294</v>
      </c>
      <c r="AP10" s="35" t="s">
        <v>272</v>
      </c>
      <c r="AQ10" s="39" t="n">
        <v>40.8</v>
      </c>
      <c r="AR10" s="39" t="n">
        <v>4.7</v>
      </c>
      <c r="AS10" s="33" t="n">
        <v>9</v>
      </c>
      <c r="AT10" s="45"/>
      <c r="AU10" s="45" t="n">
        <v>682.03</v>
      </c>
      <c r="AV10" s="45" t="n">
        <v>280</v>
      </c>
      <c r="AW10" s="39" t="n">
        <v>95.2</v>
      </c>
      <c r="AX10" s="39" t="n">
        <v>42.5</v>
      </c>
      <c r="AY10" s="39" t="n">
        <v>57.8</v>
      </c>
      <c r="AZ10" s="39" t="n">
        <v>52</v>
      </c>
      <c r="BA10" s="39" t="n">
        <v>100</v>
      </c>
      <c r="BB10" s="39" t="n">
        <v>45.5</v>
      </c>
      <c r="BC10" s="8" t="s">
        <v>299</v>
      </c>
      <c r="BD10" s="47" t="s">
        <v>290</v>
      </c>
      <c r="BE10" s="41" t="s">
        <v>300</v>
      </c>
    </row>
    <row r="11" customFormat="false" ht="15" hidden="false" customHeight="false" outlineLevel="0" collapsed="false">
      <c r="A11" s="33" t="n">
        <f aca="false">RANK(B11,$B$5:$B$266)</f>
        <v>7</v>
      </c>
      <c r="B11" s="34" t="n">
        <f aca="false">ROUND((AW11*'Scoring Weights'!$B$5+AX11*'Scoring Weights'!$B$6+AY11*'Scoring Weights'!$B$7+BA11*'Scoring Weights'!$B$8+AZ11*'Scoring Weights'!$B$9+BB11*'Scoring Weights'!$B$10)/MAX('Scoring Weights'!$B$11,1),1)</f>
        <v>69</v>
      </c>
      <c r="C11" s="35" t="str">
        <f aca="false">IF(AND(H11&lt;='Search Criteria'!$B$5,D11&gt;='Search Criteria'!$B$6,AQ11&lt;='Search Criteria'!$B$7,I11&lt;=INDEX('Search Criteria'!$B$18:$B$20,MATCH(E11,'Search Criteria'!$A$18:$A$20,0)),OR(NOT('Search Criteria'!$B$8),L11&lt;&gt;"FWD"),OR(NOT('Search Criteria'!$B$9),T11="Yes"),OR(NOT('Search Criteria'!$B$10),W11&gt;0),OR(NOT('Search Criteria'!$B$11),X11="Yes"),OR(NOT('Search Criteria'!$B$12),O11="GREAT",O11="GOOD"),OR(NOT('Search Criteria'!$B$13),K11="Yes")),"YES","no")</f>
        <v>no</v>
      </c>
      <c r="D11" s="33" t="n">
        <v>2024</v>
      </c>
      <c r="E11" s="8" t="s">
        <v>94</v>
      </c>
      <c r="F11" s="8" t="s">
        <v>232</v>
      </c>
      <c r="G11" s="8" t="s">
        <v>301</v>
      </c>
      <c r="H11" s="45" t="n">
        <v>34495</v>
      </c>
      <c r="I11" s="46" t="n">
        <v>22771</v>
      </c>
      <c r="J11" s="37" t="n">
        <f aca="false">IFERROR(ROUND(I11/MAX(2026-D11,0.5),0),"")</f>
        <v>11386</v>
      </c>
      <c r="K11" s="35" t="s">
        <v>255</v>
      </c>
      <c r="L11" s="35" t="s">
        <v>256</v>
      </c>
      <c r="M11" s="35" t="s">
        <v>302</v>
      </c>
      <c r="N11" s="33" t="n">
        <v>37</v>
      </c>
      <c r="O11" s="35" t="s">
        <v>276</v>
      </c>
      <c r="P11" s="45" t="n">
        <v>33334</v>
      </c>
      <c r="Q11" s="38" t="n">
        <v>-0.035</v>
      </c>
      <c r="R11" s="35" t="s">
        <v>258</v>
      </c>
      <c r="S11" s="45" t="n">
        <v>790</v>
      </c>
      <c r="T11" s="35" t="s">
        <v>255</v>
      </c>
      <c r="U11" s="33" t="n">
        <v>1</v>
      </c>
      <c r="V11" s="35" t="s">
        <v>255</v>
      </c>
      <c r="W11" s="33" t="n">
        <v>11</v>
      </c>
      <c r="X11" s="35" t="s">
        <v>255</v>
      </c>
      <c r="Y11" s="35" t="s">
        <v>255</v>
      </c>
      <c r="Z11" s="35" t="s">
        <v>259</v>
      </c>
      <c r="AA11" s="35" t="s">
        <v>255</v>
      </c>
      <c r="AB11" s="35" t="s">
        <v>255</v>
      </c>
      <c r="AC11" s="35" t="s">
        <v>259</v>
      </c>
      <c r="AD11" s="35" t="s">
        <v>255</v>
      </c>
      <c r="AE11" s="35" t="s">
        <v>259</v>
      </c>
      <c r="AF11" s="35" t="s">
        <v>259</v>
      </c>
      <c r="AG11" s="35" t="s">
        <v>259</v>
      </c>
      <c r="AH11" s="35" t="s">
        <v>259</v>
      </c>
      <c r="AI11" s="35" t="s">
        <v>255</v>
      </c>
      <c r="AJ11" s="35" t="s">
        <v>259</v>
      </c>
      <c r="AK11" s="8" t="s">
        <v>292</v>
      </c>
      <c r="AL11" s="8" t="s">
        <v>261</v>
      </c>
      <c r="AM11" s="8" t="s">
        <v>303</v>
      </c>
      <c r="AN11" s="8" t="s">
        <v>304</v>
      </c>
      <c r="AO11" s="8" t="s">
        <v>305</v>
      </c>
      <c r="AP11" s="35" t="s">
        <v>265</v>
      </c>
      <c r="AQ11" s="39" t="n">
        <v>59.4</v>
      </c>
      <c r="AR11" s="39" t="n">
        <v>4.4</v>
      </c>
      <c r="AS11" s="33" t="n">
        <v>3</v>
      </c>
      <c r="AT11" s="45"/>
      <c r="AU11" s="45" t="n">
        <v>616.2</v>
      </c>
      <c r="AV11" s="45"/>
      <c r="AW11" s="39" t="n">
        <v>93.3</v>
      </c>
      <c r="AX11" s="39" t="n">
        <v>51.4</v>
      </c>
      <c r="AY11" s="39" t="n">
        <v>63.8</v>
      </c>
      <c r="AZ11" s="39" t="n">
        <v>42</v>
      </c>
      <c r="BA11" s="39" t="n">
        <v>100</v>
      </c>
      <c r="BB11" s="39" t="n">
        <v>20.8</v>
      </c>
      <c r="BC11" s="8" t="s">
        <v>306</v>
      </c>
      <c r="BD11" s="47" t="s">
        <v>307</v>
      </c>
      <c r="BE11" s="41" t="s">
        <v>308</v>
      </c>
    </row>
    <row r="12" customFormat="false" ht="15" hidden="false" customHeight="false" outlineLevel="0" collapsed="false">
      <c r="A12" s="33" t="n">
        <f aca="false">RANK(B12,$B$5:$B$266)</f>
        <v>7</v>
      </c>
      <c r="B12" s="34" t="n">
        <f aca="false">ROUND((AW12*'Scoring Weights'!$B$5+AX12*'Scoring Weights'!$B$6+AY12*'Scoring Weights'!$B$7+BA12*'Scoring Weights'!$B$8+AZ12*'Scoring Weights'!$B$9+BB12*'Scoring Weights'!$B$10)/MAX('Scoring Weights'!$B$11,1),1)</f>
        <v>69</v>
      </c>
      <c r="C12" s="35" t="str">
        <f aca="false">IF(AND(H12&lt;='Search Criteria'!$B$5,D12&gt;='Search Criteria'!$B$6,AQ12&lt;='Search Criteria'!$B$7,I12&lt;=INDEX('Search Criteria'!$B$18:$B$20,MATCH(E12,'Search Criteria'!$A$18:$A$20,0)),OR(NOT('Search Criteria'!$B$8),L12&lt;&gt;"FWD"),OR(NOT('Search Criteria'!$B$9),T12="Yes"),OR(NOT('Search Criteria'!$B$10),W12&gt;0),OR(NOT('Search Criteria'!$B$11),X12="Yes"),OR(NOT('Search Criteria'!$B$12),O12="GREAT",O12="GOOD"),OR(NOT('Search Criteria'!$B$13),K12="Yes")),"YES","no")</f>
        <v>YES</v>
      </c>
      <c r="D12" s="33" t="n">
        <v>2024</v>
      </c>
      <c r="E12" s="8" t="s">
        <v>94</v>
      </c>
      <c r="F12" s="8" t="s">
        <v>232</v>
      </c>
      <c r="G12" s="8" t="s">
        <v>301</v>
      </c>
      <c r="H12" s="45" t="n">
        <v>33809</v>
      </c>
      <c r="I12" s="46" t="n">
        <v>25381</v>
      </c>
      <c r="J12" s="37" t="n">
        <f aca="false">IFERROR(ROUND(I12/MAX(2026-D12,0.5),0),"")</f>
        <v>12691</v>
      </c>
      <c r="K12" s="35" t="s">
        <v>255</v>
      </c>
      <c r="L12" s="35" t="s">
        <v>256</v>
      </c>
      <c r="M12" s="35" t="s">
        <v>302</v>
      </c>
      <c r="N12" s="33" t="n">
        <v>37</v>
      </c>
      <c r="O12" s="35" t="s">
        <v>286</v>
      </c>
      <c r="P12" s="45" t="n">
        <v>33153</v>
      </c>
      <c r="Q12" s="38" t="n">
        <v>-0.02</v>
      </c>
      <c r="R12" s="35" t="s">
        <v>258</v>
      </c>
      <c r="S12" s="45" t="n">
        <v>600</v>
      </c>
      <c r="T12" s="35" t="s">
        <v>255</v>
      </c>
      <c r="U12" s="33" t="n">
        <v>1</v>
      </c>
      <c r="V12" s="35" t="s">
        <v>255</v>
      </c>
      <c r="W12" s="33" t="n">
        <v>6</v>
      </c>
      <c r="X12" s="35" t="s">
        <v>255</v>
      </c>
      <c r="Y12" s="35" t="s">
        <v>255</v>
      </c>
      <c r="Z12" s="35" t="s">
        <v>259</v>
      </c>
      <c r="AA12" s="35" t="s">
        <v>255</v>
      </c>
      <c r="AB12" s="35" t="s">
        <v>255</v>
      </c>
      <c r="AC12" s="35" t="s">
        <v>259</v>
      </c>
      <c r="AD12" s="35" t="s">
        <v>255</v>
      </c>
      <c r="AE12" s="35" t="s">
        <v>259</v>
      </c>
      <c r="AF12" s="35" t="s">
        <v>259</v>
      </c>
      <c r="AG12" s="35" t="s">
        <v>259</v>
      </c>
      <c r="AH12" s="35" t="s">
        <v>259</v>
      </c>
      <c r="AI12" s="35" t="s">
        <v>255</v>
      </c>
      <c r="AJ12" s="35" t="s">
        <v>259</v>
      </c>
      <c r="AK12" s="8" t="s">
        <v>309</v>
      </c>
      <c r="AL12" s="8" t="s">
        <v>261</v>
      </c>
      <c r="AM12" s="8" t="s">
        <v>303</v>
      </c>
      <c r="AN12" s="8" t="s">
        <v>270</v>
      </c>
      <c r="AO12" s="8" t="s">
        <v>271</v>
      </c>
      <c r="AP12" s="35" t="s">
        <v>272</v>
      </c>
      <c r="AQ12" s="39" t="n">
        <v>71</v>
      </c>
      <c r="AR12" s="39" t="n">
        <v>4.7</v>
      </c>
      <c r="AS12" s="33" t="n">
        <v>44</v>
      </c>
      <c r="AT12" s="45"/>
      <c r="AU12" s="45" t="n">
        <v>603.95</v>
      </c>
      <c r="AV12" s="45" t="n">
        <v>314</v>
      </c>
      <c r="AW12" s="39" t="n">
        <v>91</v>
      </c>
      <c r="AX12" s="39" t="n">
        <v>62.4</v>
      </c>
      <c r="AY12" s="39" t="n">
        <v>57.9</v>
      </c>
      <c r="AZ12" s="39" t="n">
        <v>42</v>
      </c>
      <c r="BA12" s="39" t="n">
        <v>100</v>
      </c>
      <c r="BB12" s="39" t="n">
        <v>5.4</v>
      </c>
      <c r="BC12" s="8" t="s">
        <v>310</v>
      </c>
      <c r="BD12" s="47" t="s">
        <v>307</v>
      </c>
      <c r="BE12" s="41" t="s">
        <v>141</v>
      </c>
    </row>
    <row r="13" customFormat="false" ht="15" hidden="false" customHeight="false" outlineLevel="0" collapsed="false">
      <c r="A13" s="33" t="n">
        <f aca="false">RANK(B13,$B$5:$B$266)</f>
        <v>9</v>
      </c>
      <c r="B13" s="34" t="n">
        <f aca="false">ROUND((AW13*'Scoring Weights'!$B$5+AX13*'Scoring Weights'!$B$6+AY13*'Scoring Weights'!$B$7+BA13*'Scoring Weights'!$B$8+AZ13*'Scoring Weights'!$B$9+BB13*'Scoring Weights'!$B$10)/MAX('Scoring Weights'!$B$11,1),1)</f>
        <v>68.1</v>
      </c>
      <c r="C13" s="35" t="str">
        <f aca="false">IF(AND(H13&lt;='Search Criteria'!$B$5,D13&gt;='Search Criteria'!$B$6,AQ13&lt;='Search Criteria'!$B$7,I13&lt;=INDEX('Search Criteria'!$B$18:$B$20,MATCH(E13,'Search Criteria'!$A$18:$A$20,0)),OR(NOT('Search Criteria'!$B$8),L13&lt;&gt;"FWD"),OR(NOT('Search Criteria'!$B$9),T13="Yes"),OR(NOT('Search Criteria'!$B$10),W13&gt;0),OR(NOT('Search Criteria'!$B$11),X13="Yes"),OR(NOT('Search Criteria'!$B$12),O13="GREAT",O13="GOOD"),OR(NOT('Search Criteria'!$B$13),K13="Yes")),"YES","no")</f>
        <v>YES</v>
      </c>
      <c r="D13" s="33" t="n">
        <v>2026</v>
      </c>
      <c r="E13" s="8" t="s">
        <v>94</v>
      </c>
      <c r="F13" s="8" t="s">
        <v>232</v>
      </c>
      <c r="G13" s="8" t="s">
        <v>311</v>
      </c>
      <c r="H13" s="45" t="n">
        <v>35913</v>
      </c>
      <c r="I13" s="46" t="n">
        <v>9420</v>
      </c>
      <c r="J13" s="37" t="n">
        <f aca="false">IFERROR(ROUND(I13/MAX(2026-D13,0.5),0),"")</f>
        <v>18840</v>
      </c>
      <c r="K13" s="35" t="s">
        <v>259</v>
      </c>
      <c r="L13" s="35" t="s">
        <v>256</v>
      </c>
      <c r="M13" s="35" t="s">
        <v>302</v>
      </c>
      <c r="N13" s="33" t="n">
        <v>35</v>
      </c>
      <c r="O13" s="35" t="s">
        <v>258</v>
      </c>
      <c r="P13" s="45" t="n">
        <v>36532</v>
      </c>
      <c r="Q13" s="38" t="n">
        <v>0.017</v>
      </c>
      <c r="R13" s="35" t="s">
        <v>277</v>
      </c>
      <c r="S13" s="45"/>
      <c r="T13" s="35" t="s">
        <v>255</v>
      </c>
      <c r="U13" s="33" t="n">
        <v>1</v>
      </c>
      <c r="V13" s="35" t="s">
        <v>255</v>
      </c>
      <c r="W13" s="33" t="n">
        <v>3</v>
      </c>
      <c r="X13" s="35" t="s">
        <v>255</v>
      </c>
      <c r="Y13" s="35" t="s">
        <v>255</v>
      </c>
      <c r="Z13" s="35" t="s">
        <v>255</v>
      </c>
      <c r="AA13" s="35" t="s">
        <v>255</v>
      </c>
      <c r="AB13" s="35" t="s">
        <v>255</v>
      </c>
      <c r="AC13" s="35" t="s">
        <v>255</v>
      </c>
      <c r="AD13" s="35" t="s">
        <v>255</v>
      </c>
      <c r="AE13" s="35" t="s">
        <v>255</v>
      </c>
      <c r="AF13" s="35" t="s">
        <v>259</v>
      </c>
      <c r="AG13" s="35" t="s">
        <v>255</v>
      </c>
      <c r="AH13" s="35" t="s">
        <v>259</v>
      </c>
      <c r="AI13" s="35" t="s">
        <v>255</v>
      </c>
      <c r="AJ13" s="35" t="s">
        <v>259</v>
      </c>
      <c r="AK13" s="8" t="s">
        <v>260</v>
      </c>
      <c r="AL13" s="8" t="s">
        <v>261</v>
      </c>
      <c r="AM13" s="8" t="s">
        <v>303</v>
      </c>
      <c r="AN13" s="8" t="s">
        <v>312</v>
      </c>
      <c r="AO13" s="8" t="s">
        <v>280</v>
      </c>
      <c r="AP13" s="35" t="s">
        <v>265</v>
      </c>
      <c r="AQ13" s="39" t="n">
        <v>11</v>
      </c>
      <c r="AR13" s="39" t="n">
        <v>4.2</v>
      </c>
      <c r="AS13" s="33" t="n">
        <v>89</v>
      </c>
      <c r="AT13" s="45"/>
      <c r="AU13" s="45" t="n">
        <v>641.53</v>
      </c>
      <c r="AV13" s="45" t="n">
        <v>261</v>
      </c>
      <c r="AW13" s="39" t="n">
        <v>91.6</v>
      </c>
      <c r="AX13" s="39" t="n">
        <v>80</v>
      </c>
      <c r="AY13" s="39" t="n">
        <v>60.6</v>
      </c>
      <c r="AZ13" s="39" t="n">
        <v>82</v>
      </c>
      <c r="BA13" s="39" t="n">
        <v>0</v>
      </c>
      <c r="BB13" s="39" t="n">
        <v>85.3</v>
      </c>
      <c r="BC13" s="8" t="s">
        <v>313</v>
      </c>
      <c r="BD13" s="47" t="s">
        <v>267</v>
      </c>
      <c r="BE13" s="41" t="s">
        <v>143</v>
      </c>
    </row>
    <row r="14" customFormat="false" ht="15" hidden="false" customHeight="false" outlineLevel="0" collapsed="false">
      <c r="A14" s="33" t="n">
        <f aca="false">RANK(B14,$B$5:$B$266)</f>
        <v>10</v>
      </c>
      <c r="B14" s="34" t="n">
        <f aca="false">ROUND((AW14*'Scoring Weights'!$B$5+AX14*'Scoring Weights'!$B$6+AY14*'Scoring Weights'!$B$7+BA14*'Scoring Weights'!$B$8+AZ14*'Scoring Weights'!$B$9+BB14*'Scoring Weights'!$B$10)/MAX('Scoring Weights'!$B$11,1),1)</f>
        <v>67.3</v>
      </c>
      <c r="C14" s="35" t="str">
        <f aca="false">IF(AND(H14&lt;='Search Criteria'!$B$5,D14&gt;='Search Criteria'!$B$6,AQ14&lt;='Search Criteria'!$B$7,I14&lt;=INDEX('Search Criteria'!$B$18:$B$20,MATCH(E14,'Search Criteria'!$A$18:$A$20,0)),OR(NOT('Search Criteria'!$B$8),L14&lt;&gt;"FWD"),OR(NOT('Search Criteria'!$B$9),T14="Yes"),OR(NOT('Search Criteria'!$B$10),W14&gt;0),OR(NOT('Search Criteria'!$B$11),X14="Yes"),OR(NOT('Search Criteria'!$B$12),O14="GREAT",O14="GOOD"),OR(NOT('Search Criteria'!$B$13),K14="Yes")),"YES","no")</f>
        <v>no</v>
      </c>
      <c r="D14" s="33" t="n">
        <v>2023</v>
      </c>
      <c r="E14" s="8" t="s">
        <v>94</v>
      </c>
      <c r="F14" s="8" t="s">
        <v>233</v>
      </c>
      <c r="G14" s="8" t="s">
        <v>314</v>
      </c>
      <c r="H14" s="45" t="n">
        <v>28814</v>
      </c>
      <c r="I14" s="46" t="n">
        <v>28383</v>
      </c>
      <c r="J14" s="37" t="n">
        <f aca="false">IFERROR(ROUND(I14/MAX(2026-D14,0.5),0),"")</f>
        <v>9461</v>
      </c>
      <c r="K14" s="35" t="s">
        <v>255</v>
      </c>
      <c r="L14" s="35" t="s">
        <v>256</v>
      </c>
      <c r="M14" s="35" t="s">
        <v>257</v>
      </c>
      <c r="N14" s="33" t="n">
        <v>27</v>
      </c>
      <c r="O14" s="35" t="s">
        <v>297</v>
      </c>
      <c r="P14" s="45" t="n">
        <v>26456</v>
      </c>
      <c r="Q14" s="38" t="n">
        <v>-0.089</v>
      </c>
      <c r="R14" s="35" t="s">
        <v>258</v>
      </c>
      <c r="S14" s="45" t="n">
        <v>220</v>
      </c>
      <c r="T14" s="35" t="s">
        <v>255</v>
      </c>
      <c r="U14" s="33" t="n">
        <v>2</v>
      </c>
      <c r="V14" s="35" t="s">
        <v>259</v>
      </c>
      <c r="W14" s="33" t="n">
        <v>12</v>
      </c>
      <c r="X14" s="35" t="s">
        <v>255</v>
      </c>
      <c r="Y14" s="35" t="s">
        <v>255</v>
      </c>
      <c r="Z14" s="35" t="s">
        <v>259</v>
      </c>
      <c r="AA14" s="35" t="s">
        <v>255</v>
      </c>
      <c r="AB14" s="35" t="s">
        <v>255</v>
      </c>
      <c r="AC14" s="35" t="s">
        <v>259</v>
      </c>
      <c r="AD14" s="35" t="s">
        <v>255</v>
      </c>
      <c r="AE14" s="35" t="s">
        <v>259</v>
      </c>
      <c r="AF14" s="35" t="s">
        <v>259</v>
      </c>
      <c r="AG14" s="35" t="s">
        <v>255</v>
      </c>
      <c r="AH14" s="35" t="s">
        <v>255</v>
      </c>
      <c r="AI14" s="35" t="s">
        <v>255</v>
      </c>
      <c r="AJ14" s="35" t="s">
        <v>259</v>
      </c>
      <c r="AK14" s="8" t="s">
        <v>292</v>
      </c>
      <c r="AL14" s="8" t="s">
        <v>261</v>
      </c>
      <c r="AM14" s="8" t="s">
        <v>303</v>
      </c>
      <c r="AN14" s="8" t="s">
        <v>315</v>
      </c>
      <c r="AO14" s="8" t="s">
        <v>294</v>
      </c>
      <c r="AP14" s="35" t="s">
        <v>272</v>
      </c>
      <c r="AQ14" s="39" t="n">
        <v>41.6</v>
      </c>
      <c r="AR14" s="39" t="n">
        <v>4.6</v>
      </c>
      <c r="AS14" s="33" t="n">
        <v>34</v>
      </c>
      <c r="AT14" s="45"/>
      <c r="AU14" s="45" t="n">
        <v>514.72</v>
      </c>
      <c r="AV14" s="45" t="n">
        <v>314</v>
      </c>
      <c r="AW14" s="39" t="n">
        <v>85.6</v>
      </c>
      <c r="AX14" s="39" t="n">
        <v>39.4</v>
      </c>
      <c r="AY14" s="39" t="n">
        <v>63</v>
      </c>
      <c r="AZ14" s="39" t="n">
        <v>56</v>
      </c>
      <c r="BA14" s="39" t="n">
        <v>100</v>
      </c>
      <c r="BB14" s="39" t="n">
        <v>44.5</v>
      </c>
      <c r="BC14" s="8" t="s">
        <v>316</v>
      </c>
      <c r="BD14" s="47" t="s">
        <v>317</v>
      </c>
      <c r="BE14" s="41" t="s">
        <v>318</v>
      </c>
    </row>
    <row r="15" customFormat="false" ht="15" hidden="false" customHeight="false" outlineLevel="0" collapsed="false">
      <c r="A15" s="33" t="n">
        <f aca="false">RANK(B15,$B$5:$B$266)</f>
        <v>11</v>
      </c>
      <c r="B15" s="34" t="n">
        <f aca="false">ROUND((AW15*'Scoring Weights'!$B$5+AX15*'Scoring Weights'!$B$6+AY15*'Scoring Weights'!$B$7+BA15*'Scoring Weights'!$B$8+AZ15*'Scoring Weights'!$B$9+BB15*'Scoring Weights'!$B$10)/MAX('Scoring Weights'!$B$11,1),1)</f>
        <v>67</v>
      </c>
      <c r="C15" s="35" t="str">
        <f aca="false">IF(AND(H15&lt;='Search Criteria'!$B$5,D15&gt;='Search Criteria'!$B$6,AQ15&lt;='Search Criteria'!$B$7,I15&lt;=INDEX('Search Criteria'!$B$18:$B$20,MATCH(E15,'Search Criteria'!$A$18:$A$20,0)),OR(NOT('Search Criteria'!$B$8),L15&lt;&gt;"FWD"),OR(NOT('Search Criteria'!$B$9),T15="Yes"),OR(NOT('Search Criteria'!$B$10),W15&gt;0),OR(NOT('Search Criteria'!$B$11),X15="Yes"),OR(NOT('Search Criteria'!$B$12),O15="GREAT",O15="GOOD"),OR(NOT('Search Criteria'!$B$13),K15="Yes")),"YES","no")</f>
        <v>no</v>
      </c>
      <c r="D15" s="33" t="n">
        <v>2024</v>
      </c>
      <c r="E15" s="8" t="s">
        <v>94</v>
      </c>
      <c r="F15" s="8" t="s">
        <v>233</v>
      </c>
      <c r="G15" s="8" t="s">
        <v>319</v>
      </c>
      <c r="H15" s="45" t="n">
        <v>25990</v>
      </c>
      <c r="I15" s="46" t="n">
        <v>20818</v>
      </c>
      <c r="J15" s="37" t="n">
        <f aca="false">IFERROR(ROUND(I15/MAX(2026-D15,0.5),0),"")</f>
        <v>10409</v>
      </c>
      <c r="K15" s="35" t="s">
        <v>255</v>
      </c>
      <c r="L15" s="35" t="s">
        <v>256</v>
      </c>
      <c r="M15" s="35" t="s">
        <v>257</v>
      </c>
      <c r="N15" s="33" t="n">
        <v>27</v>
      </c>
      <c r="O15" s="35" t="s">
        <v>286</v>
      </c>
      <c r="P15" s="45" t="n">
        <v>27029</v>
      </c>
      <c r="Q15" s="38" t="n">
        <v>0.038</v>
      </c>
      <c r="R15" s="35" t="s">
        <v>258</v>
      </c>
      <c r="S15" s="45" t="n">
        <v>220</v>
      </c>
      <c r="T15" s="35" t="s">
        <v>255</v>
      </c>
      <c r="U15" s="33" t="n">
        <v>1</v>
      </c>
      <c r="V15" s="35" t="s">
        <v>255</v>
      </c>
      <c r="W15" s="33" t="n">
        <v>0</v>
      </c>
      <c r="X15" s="35" t="s">
        <v>259</v>
      </c>
      <c r="Y15" s="35" t="s">
        <v>255</v>
      </c>
      <c r="Z15" s="35" t="s">
        <v>259</v>
      </c>
      <c r="AA15" s="35" t="s">
        <v>259</v>
      </c>
      <c r="AB15" s="35" t="s">
        <v>259</v>
      </c>
      <c r="AC15" s="35" t="s">
        <v>259</v>
      </c>
      <c r="AD15" s="35" t="s">
        <v>259</v>
      </c>
      <c r="AE15" s="35" t="s">
        <v>259</v>
      </c>
      <c r="AF15" s="35" t="s">
        <v>259</v>
      </c>
      <c r="AG15" s="35" t="s">
        <v>259</v>
      </c>
      <c r="AH15" s="35" t="s">
        <v>259</v>
      </c>
      <c r="AI15" s="35" t="s">
        <v>259</v>
      </c>
      <c r="AJ15" s="35" t="s">
        <v>259</v>
      </c>
      <c r="AK15" s="8" t="s">
        <v>292</v>
      </c>
      <c r="AL15" s="8" t="s">
        <v>261</v>
      </c>
      <c r="AM15" s="8" t="s">
        <v>303</v>
      </c>
      <c r="AN15" s="8" t="s">
        <v>320</v>
      </c>
      <c r="AO15" s="8" t="s">
        <v>321</v>
      </c>
      <c r="AP15" s="35" t="s">
        <v>272</v>
      </c>
      <c r="AQ15" s="39" t="n">
        <v>56.8</v>
      </c>
      <c r="AR15" s="39" t="n">
        <v>4.5</v>
      </c>
      <c r="AS15" s="33" t="n">
        <v>2</v>
      </c>
      <c r="AT15" s="45"/>
      <c r="AU15" s="45" t="n">
        <v>464.27</v>
      </c>
      <c r="AV15" s="45" t="n">
        <v>314</v>
      </c>
      <c r="AW15" s="39" t="n">
        <v>88</v>
      </c>
      <c r="AX15" s="39" t="n">
        <v>71.2</v>
      </c>
      <c r="AY15" s="39" t="n">
        <v>68.2</v>
      </c>
      <c r="AZ15" s="39" t="n">
        <v>0</v>
      </c>
      <c r="BA15" s="39" t="n">
        <v>100</v>
      </c>
      <c r="BB15" s="39" t="n">
        <v>24.3</v>
      </c>
      <c r="BC15" s="8" t="s">
        <v>322</v>
      </c>
      <c r="BD15" s="47" t="s">
        <v>323</v>
      </c>
      <c r="BE15" s="41" t="s">
        <v>324</v>
      </c>
    </row>
    <row r="16" customFormat="false" ht="15" hidden="false" customHeight="false" outlineLevel="0" collapsed="false">
      <c r="A16" s="33" t="n">
        <f aca="false">RANK(B16,$B$5:$B$266)</f>
        <v>12</v>
      </c>
      <c r="B16" s="34" t="n">
        <f aca="false">ROUND((AW16*'Scoring Weights'!$B$5+AX16*'Scoring Weights'!$B$6+AY16*'Scoring Weights'!$B$7+BA16*'Scoring Weights'!$B$8+AZ16*'Scoring Weights'!$B$9+BB16*'Scoring Weights'!$B$10)/MAX('Scoring Weights'!$B$11,1),1)</f>
        <v>66.8</v>
      </c>
      <c r="C16" s="35" t="str">
        <f aca="false">IF(AND(H16&lt;='Search Criteria'!$B$5,D16&gt;='Search Criteria'!$B$6,AQ16&lt;='Search Criteria'!$B$7,I16&lt;=INDEX('Search Criteria'!$B$18:$B$20,MATCH(E16,'Search Criteria'!$A$18:$A$20,0)),OR(NOT('Search Criteria'!$B$8),L16&lt;&gt;"FWD"),OR(NOT('Search Criteria'!$B$9),T16="Yes"),OR(NOT('Search Criteria'!$B$10),W16&gt;0),OR(NOT('Search Criteria'!$B$11),X16="Yes"),OR(NOT('Search Criteria'!$B$12),O16="GREAT",O16="GOOD"),OR(NOT('Search Criteria'!$B$13),K16="Yes")),"YES","no")</f>
        <v>no</v>
      </c>
      <c r="D16" s="33" t="n">
        <v>2025</v>
      </c>
      <c r="E16" s="8" t="s">
        <v>95</v>
      </c>
      <c r="F16" s="8" t="s">
        <v>234</v>
      </c>
      <c r="G16" s="8" t="s">
        <v>325</v>
      </c>
      <c r="H16" s="45" t="n">
        <v>31360</v>
      </c>
      <c r="I16" s="46" t="n">
        <v>27136</v>
      </c>
      <c r="J16" s="37" t="n">
        <f aca="false">IFERROR(ROUND(I16/MAX(2026-D16,0.5),0),"")</f>
        <v>27136</v>
      </c>
      <c r="K16" s="35" t="s">
        <v>255</v>
      </c>
      <c r="L16" s="35" t="s">
        <v>256</v>
      </c>
      <c r="M16" s="35" t="s">
        <v>257</v>
      </c>
      <c r="N16" s="33" t="n">
        <v>28</v>
      </c>
      <c r="O16" s="35" t="s">
        <v>297</v>
      </c>
      <c r="P16" s="45" t="n">
        <v>31526</v>
      </c>
      <c r="Q16" s="38" t="n">
        <v>0.005</v>
      </c>
      <c r="R16" s="35" t="s">
        <v>258</v>
      </c>
      <c r="S16" s="45" t="n">
        <v>290</v>
      </c>
      <c r="T16" s="35" t="s">
        <v>255</v>
      </c>
      <c r="U16" s="33" t="n">
        <v>1</v>
      </c>
      <c r="V16" s="35" t="s">
        <v>259</v>
      </c>
      <c r="W16" s="33" t="n">
        <v>1</v>
      </c>
      <c r="X16" s="35" t="s">
        <v>255</v>
      </c>
      <c r="Y16" s="35" t="s">
        <v>255</v>
      </c>
      <c r="Z16" s="35" t="s">
        <v>255</v>
      </c>
      <c r="AA16" s="35" t="s">
        <v>255</v>
      </c>
      <c r="AB16" s="35" t="s">
        <v>255</v>
      </c>
      <c r="AC16" s="35" t="s">
        <v>255</v>
      </c>
      <c r="AD16" s="35" t="s">
        <v>255</v>
      </c>
      <c r="AE16" s="35" t="s">
        <v>259</v>
      </c>
      <c r="AF16" s="35" t="s">
        <v>259</v>
      </c>
      <c r="AG16" s="35" t="s">
        <v>259</v>
      </c>
      <c r="AH16" s="35" t="s">
        <v>255</v>
      </c>
      <c r="AI16" s="35" t="s">
        <v>255</v>
      </c>
      <c r="AJ16" s="35" t="s">
        <v>255</v>
      </c>
      <c r="AK16" s="8" t="s">
        <v>260</v>
      </c>
      <c r="AL16" s="8" t="s">
        <v>260</v>
      </c>
      <c r="AM16" s="8" t="s">
        <v>278</v>
      </c>
      <c r="AN16" s="8" t="s">
        <v>293</v>
      </c>
      <c r="AO16" s="8" t="s">
        <v>294</v>
      </c>
      <c r="AP16" s="35" t="s">
        <v>272</v>
      </c>
      <c r="AQ16" s="39" t="n">
        <v>42.8</v>
      </c>
      <c r="AR16" s="39"/>
      <c r="AS16" s="33" t="n">
        <v>17</v>
      </c>
      <c r="AT16" s="45" t="n">
        <v>1268</v>
      </c>
      <c r="AU16" s="45" t="n">
        <v>560.2</v>
      </c>
      <c r="AV16" s="45"/>
      <c r="AW16" s="39" t="n">
        <v>83.6</v>
      </c>
      <c r="AX16" s="39" t="n">
        <v>53.5</v>
      </c>
      <c r="AY16" s="39" t="n">
        <v>32</v>
      </c>
      <c r="AZ16" s="39" t="n">
        <v>74</v>
      </c>
      <c r="BA16" s="39" t="n">
        <v>100</v>
      </c>
      <c r="BB16" s="39" t="n">
        <v>42.9</v>
      </c>
      <c r="BC16" s="8" t="s">
        <v>326</v>
      </c>
      <c r="BD16" s="47" t="s">
        <v>282</v>
      </c>
      <c r="BE16" s="41" t="s">
        <v>327</v>
      </c>
    </row>
    <row r="17" customFormat="false" ht="15" hidden="false" customHeight="false" outlineLevel="0" collapsed="false">
      <c r="A17" s="33" t="n">
        <f aca="false">RANK(B17,$B$5:$B$266)</f>
        <v>13</v>
      </c>
      <c r="B17" s="34" t="n">
        <f aca="false">ROUND((AW17*'Scoring Weights'!$B$5+AX17*'Scoring Weights'!$B$6+AY17*'Scoring Weights'!$B$7+BA17*'Scoring Weights'!$B$8+AZ17*'Scoring Weights'!$B$9+BB17*'Scoring Weights'!$B$10)/MAX('Scoring Weights'!$B$11,1),1)</f>
        <v>66.6</v>
      </c>
      <c r="C17" s="35" t="str">
        <f aca="false">IF(AND(H17&lt;='Search Criteria'!$B$5,D17&gt;='Search Criteria'!$B$6,AQ17&lt;='Search Criteria'!$B$7,I17&lt;=INDEX('Search Criteria'!$B$18:$B$20,MATCH(E17,'Search Criteria'!$A$18:$A$20,0)),OR(NOT('Search Criteria'!$B$8),L17&lt;&gt;"FWD"),OR(NOT('Search Criteria'!$B$9),T17="Yes"),OR(NOT('Search Criteria'!$B$10),W17&gt;0),OR(NOT('Search Criteria'!$B$11),X17="Yes"),OR(NOT('Search Criteria'!$B$12),O17="GREAT",O17="GOOD"),OR(NOT('Search Criteria'!$B$13),K17="Yes")),"YES","no")</f>
        <v>YES</v>
      </c>
      <c r="D17" s="33" t="n">
        <v>2023</v>
      </c>
      <c r="E17" s="8" t="s">
        <v>94</v>
      </c>
      <c r="F17" s="8" t="s">
        <v>232</v>
      </c>
      <c r="G17" s="8" t="s">
        <v>328</v>
      </c>
      <c r="H17" s="45" t="n">
        <v>32864</v>
      </c>
      <c r="I17" s="46" t="n">
        <v>34991</v>
      </c>
      <c r="J17" s="37" t="n">
        <f aca="false">IFERROR(ROUND(I17/MAX(2026-D17,0.5),0),"")</f>
        <v>11664</v>
      </c>
      <c r="K17" s="35" t="s">
        <v>259</v>
      </c>
      <c r="L17" s="35" t="s">
        <v>256</v>
      </c>
      <c r="M17" s="35" t="s">
        <v>302</v>
      </c>
      <c r="N17" s="33" t="n">
        <v>37</v>
      </c>
      <c r="O17" s="35" t="s">
        <v>258</v>
      </c>
      <c r="P17" s="45" t="n">
        <v>31351</v>
      </c>
      <c r="Q17" s="38" t="n">
        <v>-0.048</v>
      </c>
      <c r="R17" s="35" t="s">
        <v>277</v>
      </c>
      <c r="S17" s="45"/>
      <c r="T17" s="35" t="s">
        <v>255</v>
      </c>
      <c r="U17" s="33" t="n">
        <v>2</v>
      </c>
      <c r="V17" s="35" t="s">
        <v>255</v>
      </c>
      <c r="W17" s="33" t="n">
        <v>10</v>
      </c>
      <c r="X17" s="35" t="s">
        <v>255</v>
      </c>
      <c r="Y17" s="35" t="s">
        <v>255</v>
      </c>
      <c r="Z17" s="35" t="s">
        <v>255</v>
      </c>
      <c r="AA17" s="35" t="s">
        <v>255</v>
      </c>
      <c r="AB17" s="35" t="s">
        <v>255</v>
      </c>
      <c r="AC17" s="35" t="s">
        <v>255</v>
      </c>
      <c r="AD17" s="35" t="s">
        <v>255</v>
      </c>
      <c r="AE17" s="35" t="s">
        <v>255</v>
      </c>
      <c r="AF17" s="35" t="s">
        <v>255</v>
      </c>
      <c r="AG17" s="35" t="s">
        <v>255</v>
      </c>
      <c r="AH17" s="35" t="s">
        <v>255</v>
      </c>
      <c r="AI17" s="35" t="s">
        <v>255</v>
      </c>
      <c r="AJ17" s="35" t="s">
        <v>255</v>
      </c>
      <c r="AK17" s="8" t="s">
        <v>309</v>
      </c>
      <c r="AL17" s="8" t="s">
        <v>261</v>
      </c>
      <c r="AM17" s="8" t="s">
        <v>303</v>
      </c>
      <c r="AN17" s="8" t="s">
        <v>279</v>
      </c>
      <c r="AO17" s="8" t="s">
        <v>280</v>
      </c>
      <c r="AP17" s="35" t="s">
        <v>265</v>
      </c>
      <c r="AQ17" s="39" t="n">
        <v>10.8</v>
      </c>
      <c r="AR17" s="39" t="n">
        <v>4.5</v>
      </c>
      <c r="AS17" s="33" t="n">
        <v>25</v>
      </c>
      <c r="AT17" s="45"/>
      <c r="AU17" s="45" t="n">
        <v>587.07</v>
      </c>
      <c r="AV17" s="45" t="n">
        <v>261</v>
      </c>
      <c r="AW17" s="39" t="n">
        <v>91.2</v>
      </c>
      <c r="AX17" s="39" t="n">
        <v>70.3</v>
      </c>
      <c r="AY17" s="39" t="n">
        <v>50.8</v>
      </c>
      <c r="AZ17" s="39" t="n">
        <v>100</v>
      </c>
      <c r="BA17" s="39" t="n">
        <v>0</v>
      </c>
      <c r="BB17" s="39" t="n">
        <v>85.6</v>
      </c>
      <c r="BC17" s="8" t="s">
        <v>329</v>
      </c>
      <c r="BD17" s="47" t="s">
        <v>330</v>
      </c>
      <c r="BE17" s="41" t="s">
        <v>145</v>
      </c>
    </row>
    <row r="18" customFormat="false" ht="15" hidden="false" customHeight="false" outlineLevel="0" collapsed="false">
      <c r="A18" s="33" t="n">
        <f aca="false">RANK(B18,$B$5:$B$266)</f>
        <v>14</v>
      </c>
      <c r="B18" s="34" t="n">
        <f aca="false">ROUND((AW18*'Scoring Weights'!$B$5+AX18*'Scoring Weights'!$B$6+AY18*'Scoring Weights'!$B$7+BA18*'Scoring Weights'!$B$8+AZ18*'Scoring Weights'!$B$9+BB18*'Scoring Weights'!$B$10)/MAX('Scoring Weights'!$B$11,1),1)</f>
        <v>66.5</v>
      </c>
      <c r="C18" s="35" t="str">
        <f aca="false">IF(AND(H18&lt;='Search Criteria'!$B$5,D18&gt;='Search Criteria'!$B$6,AQ18&lt;='Search Criteria'!$B$7,I18&lt;=INDEX('Search Criteria'!$B$18:$B$20,MATCH(E18,'Search Criteria'!$A$18:$A$20,0)),OR(NOT('Search Criteria'!$B$8),L18&lt;&gt;"FWD"),OR(NOT('Search Criteria'!$B$9),T18="Yes"),OR(NOT('Search Criteria'!$B$10),W18&gt;0),OR(NOT('Search Criteria'!$B$11),X18="Yes"),OR(NOT('Search Criteria'!$B$12),O18="GREAT",O18="GOOD"),OR(NOT('Search Criteria'!$B$13),K18="Yes")),"YES","no")</f>
        <v>YES</v>
      </c>
      <c r="D18" s="33" t="n">
        <v>2025</v>
      </c>
      <c r="E18" s="8" t="s">
        <v>94</v>
      </c>
      <c r="F18" s="8" t="s">
        <v>232</v>
      </c>
      <c r="G18" s="8" t="s">
        <v>268</v>
      </c>
      <c r="H18" s="45" t="n">
        <v>32809</v>
      </c>
      <c r="I18" s="46" t="n">
        <v>23351</v>
      </c>
      <c r="J18" s="37" t="n">
        <f aca="false">IFERROR(ROUND(I18/MAX(2026-D18,0.5),0),"")</f>
        <v>23351</v>
      </c>
      <c r="K18" s="35" t="s">
        <v>255</v>
      </c>
      <c r="L18" s="35" t="s">
        <v>256</v>
      </c>
      <c r="M18" s="35" t="s">
        <v>257</v>
      </c>
      <c r="N18" s="33" t="n">
        <v>28</v>
      </c>
      <c r="O18" s="35" t="s">
        <v>286</v>
      </c>
      <c r="P18" s="45" t="n">
        <v>34432</v>
      </c>
      <c r="Q18" s="38" t="n">
        <v>0.047</v>
      </c>
      <c r="R18" s="35" t="s">
        <v>258</v>
      </c>
      <c r="S18" s="45" t="n">
        <v>840</v>
      </c>
      <c r="T18" s="35" t="s">
        <v>255</v>
      </c>
      <c r="U18" s="33" t="n">
        <v>1</v>
      </c>
      <c r="V18" s="35" t="s">
        <v>255</v>
      </c>
      <c r="W18" s="33" t="n">
        <v>3</v>
      </c>
      <c r="X18" s="35" t="s">
        <v>255</v>
      </c>
      <c r="Y18" s="35" t="s">
        <v>255</v>
      </c>
      <c r="Z18" s="35" t="s">
        <v>259</v>
      </c>
      <c r="AA18" s="35" t="s">
        <v>255</v>
      </c>
      <c r="AB18" s="35" t="s">
        <v>255</v>
      </c>
      <c r="AC18" s="35" t="s">
        <v>259</v>
      </c>
      <c r="AD18" s="35" t="s">
        <v>259</v>
      </c>
      <c r="AE18" s="35" t="s">
        <v>259</v>
      </c>
      <c r="AF18" s="35" t="s">
        <v>259</v>
      </c>
      <c r="AG18" s="35" t="s">
        <v>259</v>
      </c>
      <c r="AH18" s="35" t="s">
        <v>259</v>
      </c>
      <c r="AI18" s="35" t="s">
        <v>255</v>
      </c>
      <c r="AJ18" s="35" t="s">
        <v>259</v>
      </c>
      <c r="AK18" s="8" t="s">
        <v>269</v>
      </c>
      <c r="AL18" s="8" t="s">
        <v>260</v>
      </c>
      <c r="AM18" s="8" t="s">
        <v>262</v>
      </c>
      <c r="AN18" s="8" t="s">
        <v>270</v>
      </c>
      <c r="AO18" s="8" t="s">
        <v>271</v>
      </c>
      <c r="AP18" s="35" t="s">
        <v>272</v>
      </c>
      <c r="AQ18" s="39" t="n">
        <v>71</v>
      </c>
      <c r="AR18" s="39" t="n">
        <v>4.7</v>
      </c>
      <c r="AS18" s="33" t="n">
        <v>32</v>
      </c>
      <c r="AT18" s="45"/>
      <c r="AU18" s="45" t="n">
        <v>586.09</v>
      </c>
      <c r="AV18" s="45" t="n">
        <v>314</v>
      </c>
      <c r="AW18" s="39" t="n">
        <v>87.4</v>
      </c>
      <c r="AX18" s="39" t="n">
        <v>72.5</v>
      </c>
      <c r="AY18" s="39" t="n">
        <v>46.6</v>
      </c>
      <c r="AZ18" s="39" t="n">
        <v>30</v>
      </c>
      <c r="BA18" s="39" t="n">
        <v>100</v>
      </c>
      <c r="BB18" s="39" t="n">
        <v>5.4</v>
      </c>
      <c r="BC18" s="8" t="s">
        <v>331</v>
      </c>
      <c r="BD18" s="47" t="s">
        <v>274</v>
      </c>
      <c r="BE18" s="41" t="s">
        <v>146</v>
      </c>
    </row>
    <row r="19" customFormat="false" ht="15" hidden="false" customHeight="false" outlineLevel="0" collapsed="false">
      <c r="A19" s="33" t="n">
        <f aca="false">RANK(B19,$B$5:$B$266)</f>
        <v>15</v>
      </c>
      <c r="B19" s="34" t="n">
        <f aca="false">ROUND((AW19*'Scoring Weights'!$B$5+AX19*'Scoring Weights'!$B$6+AY19*'Scoring Weights'!$B$7+BA19*'Scoring Weights'!$B$8+AZ19*'Scoring Weights'!$B$9+BB19*'Scoring Weights'!$B$10)/MAX('Scoring Weights'!$B$11,1),1)</f>
        <v>66.1</v>
      </c>
      <c r="C19" s="35" t="str">
        <f aca="false">IF(AND(H19&lt;='Search Criteria'!$B$5,D19&gt;='Search Criteria'!$B$6,AQ19&lt;='Search Criteria'!$B$7,I19&lt;=INDEX('Search Criteria'!$B$18:$B$20,MATCH(E19,'Search Criteria'!$A$18:$A$20,0)),OR(NOT('Search Criteria'!$B$8),L19&lt;&gt;"FWD"),OR(NOT('Search Criteria'!$B$9),T19="Yes"),OR(NOT('Search Criteria'!$B$10),W19&gt;0),OR(NOT('Search Criteria'!$B$11),X19="Yes"),OR(NOT('Search Criteria'!$B$12),O19="GREAT",O19="GOOD"),OR(NOT('Search Criteria'!$B$13),K19="Yes")),"YES","no")</f>
        <v>YES</v>
      </c>
      <c r="D19" s="33" t="n">
        <v>2025</v>
      </c>
      <c r="E19" s="8" t="s">
        <v>94</v>
      </c>
      <c r="F19" s="8" t="s">
        <v>232</v>
      </c>
      <c r="G19" s="8" t="s">
        <v>332</v>
      </c>
      <c r="H19" s="45" t="n">
        <v>34798</v>
      </c>
      <c r="I19" s="46" t="n">
        <v>20222</v>
      </c>
      <c r="J19" s="37" t="n">
        <f aca="false">IFERROR(ROUND(I19/MAX(2026-D19,0.5),0),"")</f>
        <v>20222</v>
      </c>
      <c r="K19" s="35" t="s">
        <v>259</v>
      </c>
      <c r="L19" s="35" t="s">
        <v>256</v>
      </c>
      <c r="M19" s="35" t="s">
        <v>302</v>
      </c>
      <c r="N19" s="33" t="n">
        <v>37</v>
      </c>
      <c r="O19" s="35" t="s">
        <v>258</v>
      </c>
      <c r="P19" s="45" t="n">
        <v>34648</v>
      </c>
      <c r="Q19" s="38" t="n">
        <v>-0.004</v>
      </c>
      <c r="R19" s="35" t="s">
        <v>277</v>
      </c>
      <c r="S19" s="45"/>
      <c r="T19" s="35" t="s">
        <v>255</v>
      </c>
      <c r="U19" s="33" t="n">
        <v>1</v>
      </c>
      <c r="V19" s="35" t="s">
        <v>255</v>
      </c>
      <c r="W19" s="33" t="n">
        <v>7</v>
      </c>
      <c r="X19" s="35" t="s">
        <v>255</v>
      </c>
      <c r="Y19" s="35" t="s">
        <v>255</v>
      </c>
      <c r="Z19" s="35" t="s">
        <v>259</v>
      </c>
      <c r="AA19" s="35" t="s">
        <v>255</v>
      </c>
      <c r="AB19" s="35" t="s">
        <v>255</v>
      </c>
      <c r="AC19" s="35" t="s">
        <v>255</v>
      </c>
      <c r="AD19" s="35" t="s">
        <v>255</v>
      </c>
      <c r="AE19" s="35" t="s">
        <v>255</v>
      </c>
      <c r="AF19" s="35" t="s">
        <v>259</v>
      </c>
      <c r="AG19" s="35" t="s">
        <v>255</v>
      </c>
      <c r="AH19" s="35" t="s">
        <v>255</v>
      </c>
      <c r="AI19" s="35" t="s">
        <v>255</v>
      </c>
      <c r="AJ19" s="35" t="s">
        <v>259</v>
      </c>
      <c r="AK19" s="8" t="s">
        <v>269</v>
      </c>
      <c r="AL19" s="8" t="s">
        <v>261</v>
      </c>
      <c r="AM19" s="8" t="s">
        <v>303</v>
      </c>
      <c r="AN19" s="8" t="s">
        <v>333</v>
      </c>
      <c r="AO19" s="8" t="s">
        <v>280</v>
      </c>
      <c r="AP19" s="35" t="s">
        <v>265</v>
      </c>
      <c r="AQ19" s="39" t="n">
        <v>11.1</v>
      </c>
      <c r="AR19" s="39" t="n">
        <v>4.7</v>
      </c>
      <c r="AS19" s="33" t="n">
        <v>19</v>
      </c>
      <c r="AT19" s="45" t="n">
        <v>-49</v>
      </c>
      <c r="AU19" s="45" t="n">
        <v>621.62</v>
      </c>
      <c r="AV19" s="45" t="n">
        <v>250</v>
      </c>
      <c r="AW19" s="39" t="n">
        <v>96.4</v>
      </c>
      <c r="AX19" s="39" t="n">
        <v>76.8</v>
      </c>
      <c r="AY19" s="39" t="n">
        <v>49.8</v>
      </c>
      <c r="AZ19" s="39" t="n">
        <v>78</v>
      </c>
      <c r="BA19" s="39" t="n">
        <v>0</v>
      </c>
      <c r="BB19" s="39" t="n">
        <v>85.2</v>
      </c>
      <c r="BC19" s="8" t="s">
        <v>334</v>
      </c>
      <c r="BD19" s="47" t="s">
        <v>274</v>
      </c>
      <c r="BE19" s="41" t="s">
        <v>148</v>
      </c>
    </row>
    <row r="20" customFormat="false" ht="15" hidden="false" customHeight="false" outlineLevel="0" collapsed="false">
      <c r="A20" s="33" t="n">
        <f aca="false">RANK(B20,$B$5:$B$266)</f>
        <v>16</v>
      </c>
      <c r="B20" s="34" t="n">
        <f aca="false">ROUND((AW20*'Scoring Weights'!$B$5+AX20*'Scoring Weights'!$B$6+AY20*'Scoring Weights'!$B$7+BA20*'Scoring Weights'!$B$8+AZ20*'Scoring Weights'!$B$9+BB20*'Scoring Weights'!$B$10)/MAX('Scoring Weights'!$B$11,1),1)</f>
        <v>64.8</v>
      </c>
      <c r="C20" s="35" t="str">
        <f aca="false">IF(AND(H20&lt;='Search Criteria'!$B$5,D20&gt;='Search Criteria'!$B$6,AQ20&lt;='Search Criteria'!$B$7,I20&lt;=INDEX('Search Criteria'!$B$18:$B$20,MATCH(E20,'Search Criteria'!$A$18:$A$20,0)),OR(NOT('Search Criteria'!$B$8),L20&lt;&gt;"FWD"),OR(NOT('Search Criteria'!$B$9),T20="Yes"),OR(NOT('Search Criteria'!$B$10),W20&gt;0),OR(NOT('Search Criteria'!$B$11),X20="Yes"),OR(NOT('Search Criteria'!$B$12),O20="GREAT",O20="GOOD"),OR(NOT('Search Criteria'!$B$13),K20="Yes")),"YES","no")</f>
        <v>no</v>
      </c>
      <c r="D20" s="33" t="n">
        <v>2025</v>
      </c>
      <c r="E20" s="8" t="s">
        <v>92</v>
      </c>
      <c r="F20" s="8" t="s">
        <v>236</v>
      </c>
      <c r="G20" s="8" t="s">
        <v>296</v>
      </c>
      <c r="H20" s="45" t="n">
        <v>32997</v>
      </c>
      <c r="I20" s="46" t="n">
        <v>27008</v>
      </c>
      <c r="J20" s="37" t="n">
        <f aca="false">IFERROR(ROUND(I20/MAX(2026-D20,0.5),0),"")</f>
        <v>27008</v>
      </c>
      <c r="K20" s="35" t="s">
        <v>255</v>
      </c>
      <c r="L20" s="35" t="s">
        <v>256</v>
      </c>
      <c r="M20" s="35" t="s">
        <v>257</v>
      </c>
      <c r="N20" s="33" t="n">
        <v>28</v>
      </c>
      <c r="O20" s="35" t="s">
        <v>258</v>
      </c>
      <c r="P20" s="45" t="n">
        <v>35015</v>
      </c>
      <c r="Q20" s="38" t="n">
        <v>0.058</v>
      </c>
      <c r="R20" s="35" t="s">
        <v>258</v>
      </c>
      <c r="S20" s="45" t="n">
        <v>220</v>
      </c>
      <c r="T20" s="35" t="s">
        <v>259</v>
      </c>
      <c r="U20" s="33" t="n">
        <v>1</v>
      </c>
      <c r="V20" s="35" t="s">
        <v>259</v>
      </c>
      <c r="W20" s="33" t="n">
        <v>1</v>
      </c>
      <c r="X20" s="35" t="s">
        <v>259</v>
      </c>
      <c r="Y20" s="35" t="s">
        <v>255</v>
      </c>
      <c r="Z20" s="35" t="s">
        <v>259</v>
      </c>
      <c r="AA20" s="35" t="s">
        <v>259</v>
      </c>
      <c r="AB20" s="35" t="s">
        <v>255</v>
      </c>
      <c r="AC20" s="35" t="s">
        <v>259</v>
      </c>
      <c r="AD20" s="35" t="s">
        <v>259</v>
      </c>
      <c r="AE20" s="35" t="s">
        <v>259</v>
      </c>
      <c r="AF20" s="35" t="s">
        <v>259</v>
      </c>
      <c r="AG20" s="35" t="s">
        <v>259</v>
      </c>
      <c r="AH20" s="35" t="s">
        <v>259</v>
      </c>
      <c r="AI20" s="35" t="s">
        <v>255</v>
      </c>
      <c r="AJ20" s="35" t="s">
        <v>259</v>
      </c>
      <c r="AK20" s="8" t="s">
        <v>269</v>
      </c>
      <c r="AL20" s="8" t="s">
        <v>261</v>
      </c>
      <c r="AM20" s="8" t="s">
        <v>278</v>
      </c>
      <c r="AN20" s="8" t="s">
        <v>335</v>
      </c>
      <c r="AO20" s="8" t="s">
        <v>321</v>
      </c>
      <c r="AP20" s="35" t="s">
        <v>272</v>
      </c>
      <c r="AQ20" s="39" t="n">
        <v>56.8</v>
      </c>
      <c r="AR20" s="39" t="n">
        <v>4.6</v>
      </c>
      <c r="AS20" s="33" t="n">
        <v>107</v>
      </c>
      <c r="AT20" s="45"/>
      <c r="AU20" s="45" t="n">
        <v>589.44</v>
      </c>
      <c r="AV20" s="45" t="n">
        <v>345</v>
      </c>
      <c r="AW20" s="39" t="n">
        <v>70</v>
      </c>
      <c r="AX20" s="39" t="n">
        <v>86.1</v>
      </c>
      <c r="AY20" s="39" t="n">
        <v>51.1</v>
      </c>
      <c r="AZ20" s="39" t="n">
        <v>16</v>
      </c>
      <c r="BA20" s="39" t="n">
        <v>100</v>
      </c>
      <c r="BB20" s="39" t="n">
        <v>24.2</v>
      </c>
      <c r="BC20" s="8" t="s">
        <v>336</v>
      </c>
      <c r="BD20" s="47" t="s">
        <v>290</v>
      </c>
      <c r="BE20" s="41" t="s">
        <v>337</v>
      </c>
    </row>
    <row r="21" customFormat="false" ht="15" hidden="false" customHeight="false" outlineLevel="0" collapsed="false">
      <c r="A21" s="33" t="n">
        <f aca="false">RANK(B21,$B$5:$B$266)</f>
        <v>16</v>
      </c>
      <c r="B21" s="34" t="n">
        <f aca="false">ROUND((AW21*'Scoring Weights'!$B$5+AX21*'Scoring Weights'!$B$6+AY21*'Scoring Weights'!$B$7+BA21*'Scoring Weights'!$B$8+AZ21*'Scoring Weights'!$B$9+BB21*'Scoring Weights'!$B$10)/MAX('Scoring Weights'!$B$11,1),1)</f>
        <v>64.8</v>
      </c>
      <c r="C21" s="35" t="str">
        <f aca="false">IF(AND(H21&lt;='Search Criteria'!$B$5,D21&gt;='Search Criteria'!$B$6,AQ21&lt;='Search Criteria'!$B$7,I21&lt;=INDEX('Search Criteria'!$B$18:$B$20,MATCH(E21,'Search Criteria'!$A$18:$A$20,0)),OR(NOT('Search Criteria'!$B$8),L21&lt;&gt;"FWD"),OR(NOT('Search Criteria'!$B$9),T21="Yes"),OR(NOT('Search Criteria'!$B$10),W21&gt;0),OR(NOT('Search Criteria'!$B$11),X21="Yes"),OR(NOT('Search Criteria'!$B$12),O21="GREAT",O21="GOOD"),OR(NOT('Search Criteria'!$B$13),K21="Yes")),"YES","no")</f>
        <v>no</v>
      </c>
      <c r="D21" s="33" t="n">
        <v>2025</v>
      </c>
      <c r="E21" s="8" t="s">
        <v>92</v>
      </c>
      <c r="F21" s="8" t="s">
        <v>236</v>
      </c>
      <c r="G21" s="8" t="s">
        <v>338</v>
      </c>
      <c r="H21" s="45" t="n">
        <v>30250</v>
      </c>
      <c r="I21" s="46" t="n">
        <v>36011</v>
      </c>
      <c r="J21" s="37" t="n">
        <f aca="false">IFERROR(ROUND(I21/MAX(2026-D21,0.5),0),"")</f>
        <v>36011</v>
      </c>
      <c r="K21" s="35" t="s">
        <v>255</v>
      </c>
      <c r="L21" s="35" t="s">
        <v>285</v>
      </c>
      <c r="M21" s="35" t="s">
        <v>257</v>
      </c>
      <c r="N21" s="33" t="n">
        <v>30</v>
      </c>
      <c r="O21" s="35" t="s">
        <v>258</v>
      </c>
      <c r="P21" s="45" t="n">
        <v>34297</v>
      </c>
      <c r="Q21" s="38" t="n">
        <v>0.118</v>
      </c>
      <c r="R21" s="35" t="s">
        <v>258</v>
      </c>
      <c r="S21" s="45" t="n">
        <v>290</v>
      </c>
      <c r="T21" s="35" t="s">
        <v>255</v>
      </c>
      <c r="U21" s="33" t="n">
        <v>2</v>
      </c>
      <c r="V21" s="35" t="s">
        <v>259</v>
      </c>
      <c r="W21" s="33" t="n">
        <v>2</v>
      </c>
      <c r="X21" s="35" t="s">
        <v>259</v>
      </c>
      <c r="Y21" s="35" t="s">
        <v>255</v>
      </c>
      <c r="Z21" s="35" t="s">
        <v>259</v>
      </c>
      <c r="AA21" s="35" t="s">
        <v>259</v>
      </c>
      <c r="AB21" s="35" t="s">
        <v>259</v>
      </c>
      <c r="AC21" s="35" t="s">
        <v>259</v>
      </c>
      <c r="AD21" s="35" t="s">
        <v>259</v>
      </c>
      <c r="AE21" s="35" t="s">
        <v>259</v>
      </c>
      <c r="AF21" s="35" t="s">
        <v>259</v>
      </c>
      <c r="AG21" s="35" t="s">
        <v>259</v>
      </c>
      <c r="AH21" s="35" t="s">
        <v>259</v>
      </c>
      <c r="AI21" s="35" t="s">
        <v>259</v>
      </c>
      <c r="AJ21" s="35" t="s">
        <v>259</v>
      </c>
      <c r="AK21" s="8" t="s">
        <v>261</v>
      </c>
      <c r="AL21" s="8" t="s">
        <v>261</v>
      </c>
      <c r="AM21" s="8" t="s">
        <v>278</v>
      </c>
      <c r="AN21" s="8" t="s">
        <v>339</v>
      </c>
      <c r="AO21" s="8" t="s">
        <v>340</v>
      </c>
      <c r="AP21" s="35" t="s">
        <v>265</v>
      </c>
      <c r="AQ21" s="39" t="n">
        <v>59.9</v>
      </c>
      <c r="AR21" s="39" t="n">
        <v>4.5</v>
      </c>
      <c r="AS21" s="33" t="n">
        <v>80</v>
      </c>
      <c r="AT21" s="45"/>
      <c r="AU21" s="45" t="n">
        <v>540.37</v>
      </c>
      <c r="AV21" s="45" t="n">
        <v>262</v>
      </c>
      <c r="AW21" s="39" t="n">
        <v>76</v>
      </c>
      <c r="AX21" s="39" t="n">
        <v>95.2</v>
      </c>
      <c r="AY21" s="39" t="n">
        <v>44.8</v>
      </c>
      <c r="AZ21" s="39" t="n">
        <v>0</v>
      </c>
      <c r="BA21" s="39" t="n">
        <v>100</v>
      </c>
      <c r="BB21" s="39" t="n">
        <v>20.2</v>
      </c>
      <c r="BC21" s="8" t="s">
        <v>341</v>
      </c>
      <c r="BD21" s="47" t="s">
        <v>290</v>
      </c>
      <c r="BE21" s="41" t="s">
        <v>342</v>
      </c>
    </row>
    <row r="22" customFormat="false" ht="15" hidden="false" customHeight="false" outlineLevel="0" collapsed="false">
      <c r="A22" s="33" t="n">
        <f aca="false">RANK(B22,$B$5:$B$266)</f>
        <v>18</v>
      </c>
      <c r="B22" s="34" t="n">
        <f aca="false">ROUND((AW22*'Scoring Weights'!$B$5+AX22*'Scoring Weights'!$B$6+AY22*'Scoring Weights'!$B$7+BA22*'Scoring Weights'!$B$8+AZ22*'Scoring Weights'!$B$9+BB22*'Scoring Weights'!$B$10)/MAX('Scoring Weights'!$B$11,1),1)</f>
        <v>64.6</v>
      </c>
      <c r="C22" s="35" t="str">
        <f aca="false">IF(AND(H22&lt;='Search Criteria'!$B$5,D22&gt;='Search Criteria'!$B$6,AQ22&lt;='Search Criteria'!$B$7,I22&lt;=INDEX('Search Criteria'!$B$18:$B$20,MATCH(E22,'Search Criteria'!$A$18:$A$20,0)),OR(NOT('Search Criteria'!$B$8),L22&lt;&gt;"FWD"),OR(NOT('Search Criteria'!$B$9),T22="Yes"),OR(NOT('Search Criteria'!$B$10),W22&gt;0),OR(NOT('Search Criteria'!$B$11),X22="Yes"),OR(NOT('Search Criteria'!$B$12),O22="GREAT",O22="GOOD"),OR(NOT('Search Criteria'!$B$13),K22="Yes")),"YES","no")</f>
        <v>YES</v>
      </c>
      <c r="D22" s="33" t="n">
        <v>2024</v>
      </c>
      <c r="E22" s="8" t="s">
        <v>92</v>
      </c>
      <c r="F22" s="8" t="s">
        <v>236</v>
      </c>
      <c r="G22" s="8" t="s">
        <v>343</v>
      </c>
      <c r="H22" s="45" t="n">
        <v>39338</v>
      </c>
      <c r="I22" s="46" t="n">
        <v>17459</v>
      </c>
      <c r="J22" s="37" t="n">
        <f aca="false">IFERROR(ROUND(I22/MAX(2026-D22,0.5),0),"")</f>
        <v>8730</v>
      </c>
      <c r="K22" s="35" t="s">
        <v>259</v>
      </c>
      <c r="L22" s="35" t="s">
        <v>256</v>
      </c>
      <c r="M22" s="35" t="s">
        <v>257</v>
      </c>
      <c r="N22" s="33" t="n">
        <v>28</v>
      </c>
      <c r="O22" s="35" t="s">
        <v>286</v>
      </c>
      <c r="P22" s="45" t="n">
        <v>34583</v>
      </c>
      <c r="Q22" s="38" t="n">
        <v>-0.137</v>
      </c>
      <c r="R22" s="35" t="s">
        <v>277</v>
      </c>
      <c r="S22" s="45"/>
      <c r="T22" s="35" t="s">
        <v>255</v>
      </c>
      <c r="U22" s="33" t="n">
        <v>1</v>
      </c>
      <c r="V22" s="35" t="s">
        <v>255</v>
      </c>
      <c r="W22" s="33" t="n">
        <v>5</v>
      </c>
      <c r="X22" s="35" t="s">
        <v>255</v>
      </c>
      <c r="Y22" s="35" t="s">
        <v>255</v>
      </c>
      <c r="Z22" s="35" t="s">
        <v>255</v>
      </c>
      <c r="AA22" s="35" t="s">
        <v>255</v>
      </c>
      <c r="AB22" s="35" t="s">
        <v>255</v>
      </c>
      <c r="AC22" s="35" t="s">
        <v>255</v>
      </c>
      <c r="AD22" s="35" t="s">
        <v>255</v>
      </c>
      <c r="AE22" s="35" t="s">
        <v>259</v>
      </c>
      <c r="AF22" s="35" t="s">
        <v>255</v>
      </c>
      <c r="AG22" s="35" t="s">
        <v>259</v>
      </c>
      <c r="AH22" s="35" t="s">
        <v>255</v>
      </c>
      <c r="AI22" s="35" t="s">
        <v>255</v>
      </c>
      <c r="AJ22" s="35" t="s">
        <v>255</v>
      </c>
      <c r="AK22" s="8" t="s">
        <v>292</v>
      </c>
      <c r="AL22" s="8" t="s">
        <v>287</v>
      </c>
      <c r="AM22" s="8" t="s">
        <v>278</v>
      </c>
      <c r="AN22" s="8" t="s">
        <v>344</v>
      </c>
      <c r="AO22" s="8" t="s">
        <v>280</v>
      </c>
      <c r="AP22" s="35" t="s">
        <v>265</v>
      </c>
      <c r="AQ22" s="39" t="n">
        <v>10.7</v>
      </c>
      <c r="AR22" s="39" t="n">
        <v>4.5</v>
      </c>
      <c r="AS22" s="33" t="n">
        <v>3</v>
      </c>
      <c r="AT22" s="45"/>
      <c r="AU22" s="45" t="n">
        <v>702.72</v>
      </c>
      <c r="AV22" s="45" t="n">
        <v>261</v>
      </c>
      <c r="AW22" s="39" t="n">
        <v>94</v>
      </c>
      <c r="AX22" s="39" t="n">
        <v>44.8</v>
      </c>
      <c r="AY22" s="39" t="n">
        <v>81</v>
      </c>
      <c r="AZ22" s="39" t="n">
        <v>82</v>
      </c>
      <c r="BA22" s="39" t="n">
        <v>0</v>
      </c>
      <c r="BB22" s="39" t="n">
        <v>85.8</v>
      </c>
      <c r="BC22" s="8" t="s">
        <v>345</v>
      </c>
      <c r="BD22" s="47" t="s">
        <v>346</v>
      </c>
      <c r="BE22" s="41" t="s">
        <v>150</v>
      </c>
    </row>
    <row r="23" customFormat="false" ht="15" hidden="false" customHeight="false" outlineLevel="0" collapsed="false">
      <c r="A23" s="33" t="n">
        <f aca="false">RANK(B23,$B$5:$B$266)</f>
        <v>19</v>
      </c>
      <c r="B23" s="34" t="n">
        <f aca="false">ROUND((AW23*'Scoring Weights'!$B$5+AX23*'Scoring Weights'!$B$6+AY23*'Scoring Weights'!$B$7+BA23*'Scoring Weights'!$B$8+AZ23*'Scoring Weights'!$B$9+BB23*'Scoring Weights'!$B$10)/MAX('Scoring Weights'!$B$11,1),1)</f>
        <v>64.5</v>
      </c>
      <c r="C23" s="35" t="str">
        <f aca="false">IF(AND(H23&lt;='Search Criteria'!$B$5,D23&gt;='Search Criteria'!$B$6,AQ23&lt;='Search Criteria'!$B$7,I23&lt;=INDEX('Search Criteria'!$B$18:$B$20,MATCH(E23,'Search Criteria'!$A$18:$A$20,0)),OR(NOT('Search Criteria'!$B$8),L23&lt;&gt;"FWD"),OR(NOT('Search Criteria'!$B$9),T23="Yes"),OR(NOT('Search Criteria'!$B$10),W23&gt;0),OR(NOT('Search Criteria'!$B$11),X23="Yes"),OR(NOT('Search Criteria'!$B$12),O23="GREAT",O23="GOOD"),OR(NOT('Search Criteria'!$B$13),K23="Yes")),"YES","no")</f>
        <v>YES</v>
      </c>
      <c r="D23" s="33" t="n">
        <v>2024</v>
      </c>
      <c r="E23" s="8" t="s">
        <v>94</v>
      </c>
      <c r="F23" s="8" t="s">
        <v>232</v>
      </c>
      <c r="G23" s="8" t="s">
        <v>332</v>
      </c>
      <c r="H23" s="45" t="n">
        <v>35190</v>
      </c>
      <c r="I23" s="46" t="n">
        <v>23100</v>
      </c>
      <c r="J23" s="37" t="n">
        <f aca="false">IFERROR(ROUND(I23/MAX(2026-D23,0.5),0),"")</f>
        <v>11550</v>
      </c>
      <c r="K23" s="35" t="s">
        <v>259</v>
      </c>
      <c r="L23" s="35" t="s">
        <v>256</v>
      </c>
      <c r="M23" s="35" t="s">
        <v>302</v>
      </c>
      <c r="N23" s="33" t="n">
        <v>37</v>
      </c>
      <c r="O23" s="35" t="s">
        <v>258</v>
      </c>
      <c r="P23" s="45" t="n">
        <v>33311</v>
      </c>
      <c r="Q23" s="38" t="n">
        <v>-0.056</v>
      </c>
      <c r="R23" s="35" t="s">
        <v>277</v>
      </c>
      <c r="S23" s="45"/>
      <c r="T23" s="35" t="s">
        <v>255</v>
      </c>
      <c r="U23" s="33" t="n">
        <v>2</v>
      </c>
      <c r="V23" s="35" t="s">
        <v>255</v>
      </c>
      <c r="W23" s="33" t="n">
        <v>10</v>
      </c>
      <c r="X23" s="35" t="s">
        <v>255</v>
      </c>
      <c r="Y23" s="35" t="s">
        <v>255</v>
      </c>
      <c r="Z23" s="35" t="s">
        <v>259</v>
      </c>
      <c r="AA23" s="35" t="s">
        <v>255</v>
      </c>
      <c r="AB23" s="35" t="s">
        <v>255</v>
      </c>
      <c r="AC23" s="35" t="s">
        <v>255</v>
      </c>
      <c r="AD23" s="35" t="s">
        <v>255</v>
      </c>
      <c r="AE23" s="35" t="s">
        <v>259</v>
      </c>
      <c r="AF23" s="35" t="s">
        <v>259</v>
      </c>
      <c r="AG23" s="35" t="s">
        <v>255</v>
      </c>
      <c r="AH23" s="35" t="s">
        <v>255</v>
      </c>
      <c r="AI23" s="35" t="s">
        <v>255</v>
      </c>
      <c r="AJ23" s="35" t="s">
        <v>259</v>
      </c>
      <c r="AK23" s="8" t="s">
        <v>260</v>
      </c>
      <c r="AL23" s="8" t="s">
        <v>261</v>
      </c>
      <c r="AM23" s="8" t="s">
        <v>303</v>
      </c>
      <c r="AN23" s="8" t="s">
        <v>347</v>
      </c>
      <c r="AO23" s="8" t="s">
        <v>264</v>
      </c>
      <c r="AP23" s="35" t="s">
        <v>265</v>
      </c>
      <c r="AQ23" s="39" t="n">
        <v>3.1</v>
      </c>
      <c r="AR23" s="39" t="n">
        <v>4.6</v>
      </c>
      <c r="AS23" s="33" t="n">
        <v>46</v>
      </c>
      <c r="AT23" s="45"/>
      <c r="AU23" s="45" t="n">
        <v>628.62</v>
      </c>
      <c r="AV23" s="45" t="n">
        <v>283</v>
      </c>
      <c r="AW23" s="39" t="n">
        <v>91.2</v>
      </c>
      <c r="AX23" s="39" t="n">
        <v>69</v>
      </c>
      <c r="AY23" s="39" t="n">
        <v>63</v>
      </c>
      <c r="AZ23" s="39" t="n">
        <v>68</v>
      </c>
      <c r="BA23" s="39" t="n">
        <v>0</v>
      </c>
      <c r="BB23" s="39" t="n">
        <v>95.9</v>
      </c>
      <c r="BC23" s="8" t="s">
        <v>348</v>
      </c>
      <c r="BD23" s="47" t="s">
        <v>307</v>
      </c>
      <c r="BE23" s="41" t="s">
        <v>152</v>
      </c>
    </row>
    <row r="24" customFormat="false" ht="15" hidden="false" customHeight="false" outlineLevel="0" collapsed="false">
      <c r="A24" s="33" t="n">
        <f aca="false">RANK(B24,$B$5:$B$266)</f>
        <v>20</v>
      </c>
      <c r="B24" s="34" t="n">
        <f aca="false">ROUND((AW24*'Scoring Weights'!$B$5+AX24*'Scoring Weights'!$B$6+AY24*'Scoring Weights'!$B$7+BA24*'Scoring Weights'!$B$8+AZ24*'Scoring Weights'!$B$9+BB24*'Scoring Weights'!$B$10)/MAX('Scoring Weights'!$B$11,1),1)</f>
        <v>63.9</v>
      </c>
      <c r="C24" s="35" t="str">
        <f aca="false">IF(AND(H24&lt;='Search Criteria'!$B$5,D24&gt;='Search Criteria'!$B$6,AQ24&lt;='Search Criteria'!$B$7,I24&lt;=INDEX('Search Criteria'!$B$18:$B$20,MATCH(E24,'Search Criteria'!$A$18:$A$20,0)),OR(NOT('Search Criteria'!$B$8),L24&lt;&gt;"FWD"),OR(NOT('Search Criteria'!$B$9),T24="Yes"),OR(NOT('Search Criteria'!$B$10),W24&gt;0),OR(NOT('Search Criteria'!$B$11),X24="Yes"),OR(NOT('Search Criteria'!$B$12),O24="GREAT",O24="GOOD"),OR(NOT('Search Criteria'!$B$13),K24="Yes")),"YES","no")</f>
        <v>YES</v>
      </c>
      <c r="D24" s="33" t="n">
        <v>2023</v>
      </c>
      <c r="E24" s="8" t="s">
        <v>94</v>
      </c>
      <c r="F24" s="8" t="s">
        <v>232</v>
      </c>
      <c r="G24" s="8" t="s">
        <v>254</v>
      </c>
      <c r="H24" s="45" t="n">
        <v>32149</v>
      </c>
      <c r="I24" s="46" t="n">
        <v>29404</v>
      </c>
      <c r="J24" s="37" t="n">
        <f aca="false">IFERROR(ROUND(I24/MAX(2026-D24,0.5),0),"")</f>
        <v>9801</v>
      </c>
      <c r="K24" s="35" t="s">
        <v>259</v>
      </c>
      <c r="L24" s="35" t="s">
        <v>256</v>
      </c>
      <c r="M24" s="35" t="s">
        <v>257</v>
      </c>
      <c r="N24" s="33" t="n">
        <v>29</v>
      </c>
      <c r="O24" s="35" t="s">
        <v>286</v>
      </c>
      <c r="P24" s="45" t="n">
        <v>31737</v>
      </c>
      <c r="Q24" s="38" t="n">
        <v>-0.013</v>
      </c>
      <c r="R24" s="35" t="s">
        <v>258</v>
      </c>
      <c r="S24" s="45" t="n">
        <v>320</v>
      </c>
      <c r="T24" s="35" t="s">
        <v>255</v>
      </c>
      <c r="U24" s="33" t="n">
        <v>2</v>
      </c>
      <c r="V24" s="35" t="s">
        <v>255</v>
      </c>
      <c r="W24" s="33" t="n">
        <v>13</v>
      </c>
      <c r="X24" s="35" t="s">
        <v>255</v>
      </c>
      <c r="Y24" s="35" t="s">
        <v>255</v>
      </c>
      <c r="Z24" s="35" t="s">
        <v>259</v>
      </c>
      <c r="AA24" s="35" t="s">
        <v>255</v>
      </c>
      <c r="AB24" s="35" t="s">
        <v>255</v>
      </c>
      <c r="AC24" s="35" t="s">
        <v>255</v>
      </c>
      <c r="AD24" s="35" t="s">
        <v>255</v>
      </c>
      <c r="AE24" s="35" t="s">
        <v>255</v>
      </c>
      <c r="AF24" s="35" t="s">
        <v>259</v>
      </c>
      <c r="AG24" s="35" t="s">
        <v>255</v>
      </c>
      <c r="AH24" s="35" t="s">
        <v>255</v>
      </c>
      <c r="AI24" s="35" t="s">
        <v>255</v>
      </c>
      <c r="AJ24" s="35" t="s">
        <v>259</v>
      </c>
      <c r="AK24" s="8" t="s">
        <v>309</v>
      </c>
      <c r="AL24" s="8" t="s">
        <v>261</v>
      </c>
      <c r="AM24" s="8" t="s">
        <v>262</v>
      </c>
      <c r="AN24" s="8" t="s">
        <v>349</v>
      </c>
      <c r="AO24" s="8" t="s">
        <v>280</v>
      </c>
      <c r="AP24" s="35" t="s">
        <v>265</v>
      </c>
      <c r="AQ24" s="39" t="n">
        <v>10.7</v>
      </c>
      <c r="AR24" s="39" t="n">
        <v>4.6</v>
      </c>
      <c r="AS24" s="33" t="n">
        <v>17</v>
      </c>
      <c r="AT24" s="45"/>
      <c r="AU24" s="45" t="n">
        <v>574.3</v>
      </c>
      <c r="AV24" s="45" t="n">
        <v>250</v>
      </c>
      <c r="AW24" s="39" t="n">
        <v>91.2</v>
      </c>
      <c r="AX24" s="39" t="n">
        <v>63.5</v>
      </c>
      <c r="AY24" s="39" t="n">
        <v>61.1</v>
      </c>
      <c r="AZ24" s="39" t="n">
        <v>78</v>
      </c>
      <c r="BA24" s="39" t="n">
        <v>0</v>
      </c>
      <c r="BB24" s="39" t="n">
        <v>85.7</v>
      </c>
      <c r="BC24" s="8" t="s">
        <v>350</v>
      </c>
      <c r="BD24" s="47" t="s">
        <v>330</v>
      </c>
      <c r="BE24" s="41" t="s">
        <v>154</v>
      </c>
    </row>
    <row r="25" customFormat="false" ht="15" hidden="false" customHeight="false" outlineLevel="0" collapsed="false">
      <c r="A25" s="33" t="n">
        <f aca="false">RANK(B25,$B$5:$B$266)</f>
        <v>20</v>
      </c>
      <c r="B25" s="34" t="n">
        <f aca="false">ROUND((AW25*'Scoring Weights'!$B$5+AX25*'Scoring Weights'!$B$6+AY25*'Scoring Weights'!$B$7+BA25*'Scoring Weights'!$B$8+AZ25*'Scoring Weights'!$B$9+BB25*'Scoring Weights'!$B$10)/MAX('Scoring Weights'!$B$11,1),1)</f>
        <v>63.9</v>
      </c>
      <c r="C25" s="35" t="str">
        <f aca="false">IF(AND(H25&lt;='Search Criteria'!$B$5,D25&gt;='Search Criteria'!$B$6,AQ25&lt;='Search Criteria'!$B$7,I25&lt;=INDEX('Search Criteria'!$B$18:$B$20,MATCH(E25,'Search Criteria'!$A$18:$A$20,0)),OR(NOT('Search Criteria'!$B$8),L25&lt;&gt;"FWD"),OR(NOT('Search Criteria'!$B$9),T25="Yes"),OR(NOT('Search Criteria'!$B$10),W25&gt;0),OR(NOT('Search Criteria'!$B$11),X25="Yes"),OR(NOT('Search Criteria'!$B$12),O25="GREAT",O25="GOOD"),OR(NOT('Search Criteria'!$B$13),K25="Yes")),"YES","no")</f>
        <v>no</v>
      </c>
      <c r="D25" s="33" t="n">
        <v>2024</v>
      </c>
      <c r="E25" s="8" t="s">
        <v>94</v>
      </c>
      <c r="F25" s="8" t="s">
        <v>233</v>
      </c>
      <c r="G25" s="8" t="s">
        <v>319</v>
      </c>
      <c r="H25" s="45" t="n">
        <v>24809</v>
      </c>
      <c r="I25" s="46" t="n">
        <v>37974</v>
      </c>
      <c r="J25" s="37" t="n">
        <f aca="false">IFERROR(ROUND(I25/MAX(2026-D25,0.5),0),"")</f>
        <v>18987</v>
      </c>
      <c r="K25" s="35" t="s">
        <v>255</v>
      </c>
      <c r="L25" s="35" t="s">
        <v>256</v>
      </c>
      <c r="M25" s="35" t="s">
        <v>257</v>
      </c>
      <c r="N25" s="33" t="n">
        <v>27</v>
      </c>
      <c r="O25" s="35" t="s">
        <v>258</v>
      </c>
      <c r="P25" s="45" t="n">
        <v>25986</v>
      </c>
      <c r="Q25" s="38" t="n">
        <v>0.045</v>
      </c>
      <c r="R25" s="35" t="s">
        <v>258</v>
      </c>
      <c r="S25" s="45" t="n">
        <v>670</v>
      </c>
      <c r="T25" s="35" t="s">
        <v>255</v>
      </c>
      <c r="U25" s="33" t="n">
        <v>1</v>
      </c>
      <c r="V25" s="35" t="s">
        <v>255</v>
      </c>
      <c r="W25" s="33" t="n">
        <v>8</v>
      </c>
      <c r="X25" s="35" t="s">
        <v>259</v>
      </c>
      <c r="Y25" s="35" t="s">
        <v>255</v>
      </c>
      <c r="Z25" s="35" t="s">
        <v>259</v>
      </c>
      <c r="AA25" s="35" t="s">
        <v>259</v>
      </c>
      <c r="AB25" s="35" t="s">
        <v>259</v>
      </c>
      <c r="AC25" s="35" t="s">
        <v>259</v>
      </c>
      <c r="AD25" s="35" t="s">
        <v>259</v>
      </c>
      <c r="AE25" s="35" t="s">
        <v>259</v>
      </c>
      <c r="AF25" s="35" t="s">
        <v>259</v>
      </c>
      <c r="AG25" s="35" t="s">
        <v>259</v>
      </c>
      <c r="AH25" s="35" t="s">
        <v>259</v>
      </c>
      <c r="AI25" s="35" t="s">
        <v>259</v>
      </c>
      <c r="AJ25" s="35" t="s">
        <v>259</v>
      </c>
      <c r="AK25" s="8" t="s">
        <v>292</v>
      </c>
      <c r="AL25" s="8" t="s">
        <v>260</v>
      </c>
      <c r="AM25" s="8" t="s">
        <v>303</v>
      </c>
      <c r="AN25" s="8" t="s">
        <v>270</v>
      </c>
      <c r="AO25" s="8" t="s">
        <v>271</v>
      </c>
      <c r="AP25" s="35" t="s">
        <v>272</v>
      </c>
      <c r="AQ25" s="39" t="n">
        <v>71</v>
      </c>
      <c r="AR25" s="39" t="n">
        <v>4.7</v>
      </c>
      <c r="AS25" s="33" t="n">
        <v>40</v>
      </c>
      <c r="AT25" s="45" t="n">
        <v>1186</v>
      </c>
      <c r="AU25" s="45" t="n">
        <v>443.18</v>
      </c>
      <c r="AV25" s="45" t="n">
        <v>314</v>
      </c>
      <c r="AW25" s="39" t="n">
        <v>93.4</v>
      </c>
      <c r="AX25" s="39" t="n">
        <v>84.3</v>
      </c>
      <c r="AY25" s="39" t="n">
        <v>32</v>
      </c>
      <c r="AZ25" s="39" t="n">
        <v>0</v>
      </c>
      <c r="BA25" s="39" t="n">
        <v>100</v>
      </c>
      <c r="BB25" s="39" t="n">
        <v>5.4</v>
      </c>
      <c r="BC25" s="8" t="s">
        <v>351</v>
      </c>
      <c r="BD25" s="47" t="s">
        <v>323</v>
      </c>
      <c r="BE25" s="41" t="s">
        <v>352</v>
      </c>
    </row>
    <row r="26" customFormat="false" ht="15" hidden="false" customHeight="false" outlineLevel="0" collapsed="false">
      <c r="A26" s="33" t="n">
        <f aca="false">RANK(B26,$B$5:$B$266)</f>
        <v>22</v>
      </c>
      <c r="B26" s="34" t="n">
        <f aca="false">ROUND((AW26*'Scoring Weights'!$B$5+AX26*'Scoring Weights'!$B$6+AY26*'Scoring Weights'!$B$7+BA26*'Scoring Weights'!$B$8+AZ26*'Scoring Weights'!$B$9+BB26*'Scoring Weights'!$B$10)/MAX('Scoring Weights'!$B$11,1),1)</f>
        <v>63.7</v>
      </c>
      <c r="C26" s="35" t="str">
        <f aca="false">IF(AND(H26&lt;='Search Criteria'!$B$5,D26&gt;='Search Criteria'!$B$6,AQ26&lt;='Search Criteria'!$B$7,I26&lt;=INDEX('Search Criteria'!$B$18:$B$20,MATCH(E26,'Search Criteria'!$A$18:$A$20,0)),OR(NOT('Search Criteria'!$B$8),L26&lt;&gt;"FWD"),OR(NOT('Search Criteria'!$B$9),T26="Yes"),OR(NOT('Search Criteria'!$B$10),W26&gt;0),OR(NOT('Search Criteria'!$B$11),X26="Yes"),OR(NOT('Search Criteria'!$B$12),O26="GREAT",O26="GOOD"),OR(NOT('Search Criteria'!$B$13),K26="Yes")),"YES","no")</f>
        <v>no</v>
      </c>
      <c r="D26" s="33" t="n">
        <v>2025</v>
      </c>
      <c r="E26" s="8" t="s">
        <v>92</v>
      </c>
      <c r="F26" s="8" t="s">
        <v>236</v>
      </c>
      <c r="G26" s="8" t="s">
        <v>296</v>
      </c>
      <c r="H26" s="45" t="n">
        <v>32997</v>
      </c>
      <c r="I26" s="46" t="n">
        <v>38459</v>
      </c>
      <c r="J26" s="37" t="n">
        <f aca="false">IFERROR(ROUND(I26/MAX(2026-D26,0.5),0),"")</f>
        <v>38459</v>
      </c>
      <c r="K26" s="35" t="s">
        <v>255</v>
      </c>
      <c r="L26" s="35" t="s">
        <v>256</v>
      </c>
      <c r="M26" s="35" t="s">
        <v>257</v>
      </c>
      <c r="N26" s="33" t="n">
        <v>28</v>
      </c>
      <c r="O26" s="35" t="s">
        <v>286</v>
      </c>
      <c r="P26" s="45" t="n">
        <v>34101</v>
      </c>
      <c r="Q26" s="38" t="n">
        <v>0.032</v>
      </c>
      <c r="R26" s="35" t="s">
        <v>258</v>
      </c>
      <c r="S26" s="45" t="n">
        <v>280</v>
      </c>
      <c r="T26" s="35" t="s">
        <v>255</v>
      </c>
      <c r="U26" s="33" t="n">
        <v>1</v>
      </c>
      <c r="V26" s="35" t="s">
        <v>259</v>
      </c>
      <c r="W26" s="33" t="n">
        <v>2</v>
      </c>
      <c r="X26" s="35" t="s">
        <v>259</v>
      </c>
      <c r="Y26" s="35" t="s">
        <v>255</v>
      </c>
      <c r="Z26" s="35" t="s">
        <v>259</v>
      </c>
      <c r="AA26" s="35" t="s">
        <v>259</v>
      </c>
      <c r="AB26" s="35" t="s">
        <v>255</v>
      </c>
      <c r="AC26" s="35" t="s">
        <v>259</v>
      </c>
      <c r="AD26" s="35" t="s">
        <v>259</v>
      </c>
      <c r="AE26" s="35" t="s">
        <v>259</v>
      </c>
      <c r="AF26" s="35" t="s">
        <v>259</v>
      </c>
      <c r="AG26" s="35" t="s">
        <v>259</v>
      </c>
      <c r="AH26" s="35" t="s">
        <v>259</v>
      </c>
      <c r="AI26" s="35" t="s">
        <v>255</v>
      </c>
      <c r="AJ26" s="35" t="s">
        <v>259</v>
      </c>
      <c r="AK26" s="8" t="s">
        <v>261</v>
      </c>
      <c r="AL26" s="8" t="s">
        <v>261</v>
      </c>
      <c r="AM26" s="8" t="s">
        <v>278</v>
      </c>
      <c r="AN26" s="8" t="s">
        <v>335</v>
      </c>
      <c r="AO26" s="8" t="s">
        <v>321</v>
      </c>
      <c r="AP26" s="35" t="s">
        <v>272</v>
      </c>
      <c r="AQ26" s="39" t="n">
        <v>56.8</v>
      </c>
      <c r="AR26" s="39" t="n">
        <v>4.6</v>
      </c>
      <c r="AS26" s="33" t="n">
        <v>57</v>
      </c>
      <c r="AT26" s="45"/>
      <c r="AU26" s="45" t="n">
        <v>589.44</v>
      </c>
      <c r="AV26" s="45" t="n">
        <v>345</v>
      </c>
      <c r="AW26" s="39" t="n">
        <v>84.8</v>
      </c>
      <c r="AX26" s="39" t="n">
        <v>70.3</v>
      </c>
      <c r="AY26" s="39" t="n">
        <v>43.1</v>
      </c>
      <c r="AZ26" s="39" t="n">
        <v>16</v>
      </c>
      <c r="BA26" s="39" t="n">
        <v>100</v>
      </c>
      <c r="BB26" s="39" t="n">
        <v>24.2</v>
      </c>
      <c r="BC26" s="8" t="s">
        <v>353</v>
      </c>
      <c r="BD26" s="47" t="s">
        <v>290</v>
      </c>
      <c r="BE26" s="41" t="s">
        <v>354</v>
      </c>
    </row>
    <row r="27" customFormat="false" ht="15" hidden="false" customHeight="false" outlineLevel="0" collapsed="false">
      <c r="A27" s="33" t="n">
        <f aca="false">RANK(B27,$B$5:$B$266)</f>
        <v>22</v>
      </c>
      <c r="B27" s="34" t="n">
        <f aca="false">ROUND((AW27*'Scoring Weights'!$B$5+AX27*'Scoring Weights'!$B$6+AY27*'Scoring Weights'!$B$7+BA27*'Scoring Weights'!$B$8+AZ27*'Scoring Weights'!$B$9+BB27*'Scoring Weights'!$B$10)/MAX('Scoring Weights'!$B$11,1),1)</f>
        <v>63.7</v>
      </c>
      <c r="C27" s="35" t="str">
        <f aca="false">IF(AND(H27&lt;='Search Criteria'!$B$5,D27&gt;='Search Criteria'!$B$6,AQ27&lt;='Search Criteria'!$B$7,I27&lt;=INDEX('Search Criteria'!$B$18:$B$20,MATCH(E27,'Search Criteria'!$A$18:$A$20,0)),OR(NOT('Search Criteria'!$B$8),L27&lt;&gt;"FWD"),OR(NOT('Search Criteria'!$B$9),T27="Yes"),OR(NOT('Search Criteria'!$B$10),W27&gt;0),OR(NOT('Search Criteria'!$B$11),X27="Yes"),OR(NOT('Search Criteria'!$B$12),O27="GREAT",O27="GOOD"),OR(NOT('Search Criteria'!$B$13),K27="Yes")),"YES","no")</f>
        <v>YES</v>
      </c>
      <c r="D27" s="33" t="n">
        <v>2024</v>
      </c>
      <c r="E27" s="8" t="s">
        <v>94</v>
      </c>
      <c r="F27" s="8" t="s">
        <v>232</v>
      </c>
      <c r="G27" s="8" t="s">
        <v>328</v>
      </c>
      <c r="H27" s="45" t="n">
        <v>35270</v>
      </c>
      <c r="I27" s="46" t="n">
        <v>34486</v>
      </c>
      <c r="J27" s="37" t="n">
        <f aca="false">IFERROR(ROUND(I27/MAX(2026-D27,0.5),0),"")</f>
        <v>17243</v>
      </c>
      <c r="K27" s="35" t="s">
        <v>259</v>
      </c>
      <c r="L27" s="35" t="s">
        <v>256</v>
      </c>
      <c r="M27" s="35" t="s">
        <v>302</v>
      </c>
      <c r="N27" s="33" t="n">
        <v>37</v>
      </c>
      <c r="O27" s="35" t="s">
        <v>258</v>
      </c>
      <c r="P27" s="45" t="n">
        <v>32524</v>
      </c>
      <c r="Q27" s="38" t="n">
        <v>-0.084</v>
      </c>
      <c r="R27" s="35" t="s">
        <v>277</v>
      </c>
      <c r="S27" s="45"/>
      <c r="T27" s="35" t="s">
        <v>255</v>
      </c>
      <c r="U27" s="33" t="n">
        <v>1</v>
      </c>
      <c r="V27" s="35" t="s">
        <v>255</v>
      </c>
      <c r="W27" s="33" t="n">
        <v>10</v>
      </c>
      <c r="X27" s="35" t="s">
        <v>255</v>
      </c>
      <c r="Y27" s="35" t="s">
        <v>255</v>
      </c>
      <c r="Z27" s="35" t="s">
        <v>255</v>
      </c>
      <c r="AA27" s="35" t="s">
        <v>255</v>
      </c>
      <c r="AB27" s="35" t="s">
        <v>255</v>
      </c>
      <c r="AC27" s="35" t="s">
        <v>255</v>
      </c>
      <c r="AD27" s="35" t="s">
        <v>255</v>
      </c>
      <c r="AE27" s="35" t="s">
        <v>255</v>
      </c>
      <c r="AF27" s="35" t="s">
        <v>255</v>
      </c>
      <c r="AG27" s="35" t="s">
        <v>255</v>
      </c>
      <c r="AH27" s="35" t="s">
        <v>255</v>
      </c>
      <c r="AI27" s="35" t="s">
        <v>255</v>
      </c>
      <c r="AJ27" s="35" t="s">
        <v>255</v>
      </c>
      <c r="AK27" s="8" t="s">
        <v>261</v>
      </c>
      <c r="AL27" s="8" t="s">
        <v>260</v>
      </c>
      <c r="AM27" s="8" t="s">
        <v>303</v>
      </c>
      <c r="AN27" s="8" t="s">
        <v>355</v>
      </c>
      <c r="AO27" s="8" t="s">
        <v>356</v>
      </c>
      <c r="AP27" s="35" t="s">
        <v>272</v>
      </c>
      <c r="AQ27" s="39" t="n">
        <v>34.7</v>
      </c>
      <c r="AR27" s="39" t="n">
        <v>4.6</v>
      </c>
      <c r="AS27" s="33" t="n">
        <v>18</v>
      </c>
      <c r="AT27" s="45"/>
      <c r="AU27" s="45" t="n">
        <v>630.05</v>
      </c>
      <c r="AV27" s="45" t="n">
        <v>280</v>
      </c>
      <c r="AW27" s="39" t="n">
        <v>100</v>
      </c>
      <c r="AX27" s="39" t="n">
        <v>64.8</v>
      </c>
      <c r="AY27" s="39" t="n">
        <v>37.4</v>
      </c>
      <c r="AZ27" s="39" t="n">
        <v>100</v>
      </c>
      <c r="BA27" s="39" t="n">
        <v>0</v>
      </c>
      <c r="BB27" s="39" t="n">
        <v>53.7</v>
      </c>
      <c r="BC27" s="8" t="s">
        <v>357</v>
      </c>
      <c r="BD27" s="47" t="s">
        <v>307</v>
      </c>
      <c r="BE27" s="41" t="s">
        <v>156</v>
      </c>
    </row>
    <row r="28" customFormat="false" ht="15" hidden="false" customHeight="false" outlineLevel="0" collapsed="false">
      <c r="A28" s="33" t="n">
        <f aca="false">RANK(B28,$B$5:$B$266)</f>
        <v>24</v>
      </c>
      <c r="B28" s="34" t="n">
        <f aca="false">ROUND((AW28*'Scoring Weights'!$B$5+AX28*'Scoring Weights'!$B$6+AY28*'Scoring Weights'!$B$7+BA28*'Scoring Weights'!$B$8+AZ28*'Scoring Weights'!$B$9+BB28*'Scoring Weights'!$B$10)/MAX('Scoring Weights'!$B$11,1),1)</f>
        <v>63.4</v>
      </c>
      <c r="C28" s="35" t="str">
        <f aca="false">IF(AND(H28&lt;='Search Criteria'!$B$5,D28&gt;='Search Criteria'!$B$6,AQ28&lt;='Search Criteria'!$B$7,I28&lt;=INDEX('Search Criteria'!$B$18:$B$20,MATCH(E28,'Search Criteria'!$A$18:$A$20,0)),OR(NOT('Search Criteria'!$B$8),L28&lt;&gt;"FWD"),OR(NOT('Search Criteria'!$B$9),T28="Yes"),OR(NOT('Search Criteria'!$B$10),W28&gt;0),OR(NOT('Search Criteria'!$B$11),X28="Yes"),OR(NOT('Search Criteria'!$B$12),O28="GREAT",O28="GOOD"),OR(NOT('Search Criteria'!$B$13),K28="Yes")),"YES","no")</f>
        <v>no</v>
      </c>
      <c r="D28" s="33" t="n">
        <v>2024</v>
      </c>
      <c r="E28" s="8" t="s">
        <v>94</v>
      </c>
      <c r="F28" s="8" t="s">
        <v>233</v>
      </c>
      <c r="G28" s="8" t="s">
        <v>314</v>
      </c>
      <c r="H28" s="45" t="n">
        <v>29950</v>
      </c>
      <c r="I28" s="46" t="n">
        <v>14796</v>
      </c>
      <c r="J28" s="37" t="n">
        <f aca="false">IFERROR(ROUND(I28/MAX(2026-D28,0.5),0),"")</f>
        <v>7398</v>
      </c>
      <c r="K28" s="35" t="s">
        <v>259</v>
      </c>
      <c r="L28" s="35" t="s">
        <v>256</v>
      </c>
      <c r="M28" s="35" t="s">
        <v>257</v>
      </c>
      <c r="N28" s="33" t="n">
        <v>27</v>
      </c>
      <c r="O28" s="35" t="s">
        <v>276</v>
      </c>
      <c r="P28" s="45" t="n">
        <v>27395</v>
      </c>
      <c r="Q28" s="38" t="n">
        <v>-0.093</v>
      </c>
      <c r="R28" s="35" t="s">
        <v>258</v>
      </c>
      <c r="S28" s="45" t="n">
        <v>180</v>
      </c>
      <c r="T28" s="35" t="s">
        <v>255</v>
      </c>
      <c r="U28" s="33" t="n">
        <v>1</v>
      </c>
      <c r="V28" s="35" t="s">
        <v>255</v>
      </c>
      <c r="W28" s="33" t="n">
        <v>7</v>
      </c>
      <c r="X28" s="35" t="s">
        <v>255</v>
      </c>
      <c r="Y28" s="35" t="s">
        <v>255</v>
      </c>
      <c r="Z28" s="35" t="s">
        <v>259</v>
      </c>
      <c r="AA28" s="35" t="s">
        <v>255</v>
      </c>
      <c r="AB28" s="35" t="s">
        <v>255</v>
      </c>
      <c r="AC28" s="35" t="s">
        <v>259</v>
      </c>
      <c r="AD28" s="35" t="s">
        <v>255</v>
      </c>
      <c r="AE28" s="35" t="s">
        <v>255</v>
      </c>
      <c r="AF28" s="35" t="s">
        <v>259</v>
      </c>
      <c r="AG28" s="35" t="s">
        <v>255</v>
      </c>
      <c r="AH28" s="35" t="s">
        <v>255</v>
      </c>
      <c r="AI28" s="35" t="s">
        <v>255</v>
      </c>
      <c r="AJ28" s="35" t="s">
        <v>259</v>
      </c>
      <c r="AK28" s="8" t="s">
        <v>292</v>
      </c>
      <c r="AL28" s="8" t="s">
        <v>358</v>
      </c>
      <c r="AM28" s="8" t="s">
        <v>303</v>
      </c>
      <c r="AN28" s="8" t="s">
        <v>263</v>
      </c>
      <c r="AO28" s="8" t="s">
        <v>264</v>
      </c>
      <c r="AP28" s="35" t="s">
        <v>265</v>
      </c>
      <c r="AQ28" s="39" t="n">
        <v>0.4</v>
      </c>
      <c r="AR28" s="39" t="n">
        <v>4.6</v>
      </c>
      <c r="AS28" s="33" t="n">
        <v>8</v>
      </c>
      <c r="AT28" s="45" t="n">
        <v>-57</v>
      </c>
      <c r="AU28" s="45" t="n">
        <v>535.01</v>
      </c>
      <c r="AV28" s="45" t="n">
        <v>261</v>
      </c>
      <c r="AW28" s="39" t="n">
        <v>96.4</v>
      </c>
      <c r="AX28" s="39" t="n">
        <v>42.6</v>
      </c>
      <c r="AY28" s="39" t="n">
        <v>81.7</v>
      </c>
      <c r="AZ28" s="39" t="n">
        <v>66</v>
      </c>
      <c r="BA28" s="39" t="n">
        <v>0</v>
      </c>
      <c r="BB28" s="39" t="n">
        <v>99.4</v>
      </c>
      <c r="BC28" s="8" t="s">
        <v>359</v>
      </c>
      <c r="BD28" s="47" t="s">
        <v>323</v>
      </c>
      <c r="BE28" s="41" t="s">
        <v>360</v>
      </c>
    </row>
    <row r="29" customFormat="false" ht="15" hidden="false" customHeight="false" outlineLevel="0" collapsed="false">
      <c r="A29" s="33" t="n">
        <f aca="false">RANK(B29,$B$5:$B$266)</f>
        <v>25</v>
      </c>
      <c r="B29" s="34" t="n">
        <f aca="false">ROUND((AW29*'Scoring Weights'!$B$5+AX29*'Scoring Weights'!$B$6+AY29*'Scoring Weights'!$B$7+BA29*'Scoring Weights'!$B$8+AZ29*'Scoring Weights'!$B$9+BB29*'Scoring Weights'!$B$10)/MAX('Scoring Weights'!$B$11,1),1)</f>
        <v>63.2</v>
      </c>
      <c r="C29" s="35" t="str">
        <f aca="false">IF(AND(H29&lt;='Search Criteria'!$B$5,D29&gt;='Search Criteria'!$B$6,AQ29&lt;='Search Criteria'!$B$7,I29&lt;=INDEX('Search Criteria'!$B$18:$B$20,MATCH(E29,'Search Criteria'!$A$18:$A$20,0)),OR(NOT('Search Criteria'!$B$8),L29&lt;&gt;"FWD"),OR(NOT('Search Criteria'!$B$9),T29="Yes"),OR(NOT('Search Criteria'!$B$10),W29&gt;0),OR(NOT('Search Criteria'!$B$11),X29="Yes"),OR(NOT('Search Criteria'!$B$12),O29="GREAT",O29="GOOD"),OR(NOT('Search Criteria'!$B$13),K29="Yes")),"YES","no")</f>
        <v>YES</v>
      </c>
      <c r="D29" s="33" t="n">
        <v>2024</v>
      </c>
      <c r="E29" s="8" t="s">
        <v>94</v>
      </c>
      <c r="F29" s="8" t="s">
        <v>232</v>
      </c>
      <c r="G29" s="8" t="s">
        <v>332</v>
      </c>
      <c r="H29" s="45" t="n">
        <v>34185</v>
      </c>
      <c r="I29" s="46" t="n">
        <v>34150</v>
      </c>
      <c r="J29" s="37" t="n">
        <f aca="false">IFERROR(ROUND(I29/MAX(2026-D29,0.5),0),"")</f>
        <v>17075</v>
      </c>
      <c r="K29" s="35" t="s">
        <v>259</v>
      </c>
      <c r="L29" s="35" t="s">
        <v>256</v>
      </c>
      <c r="M29" s="35" t="s">
        <v>302</v>
      </c>
      <c r="N29" s="33" t="n">
        <v>37</v>
      </c>
      <c r="O29" s="35" t="s">
        <v>258</v>
      </c>
      <c r="P29" s="45" t="n">
        <v>32547</v>
      </c>
      <c r="Q29" s="38" t="n">
        <v>-0.05</v>
      </c>
      <c r="R29" s="35" t="s">
        <v>277</v>
      </c>
      <c r="S29" s="45"/>
      <c r="T29" s="35" t="s">
        <v>255</v>
      </c>
      <c r="U29" s="33" t="n">
        <v>1</v>
      </c>
      <c r="V29" s="35" t="s">
        <v>255</v>
      </c>
      <c r="W29" s="33" t="n">
        <v>7</v>
      </c>
      <c r="X29" s="35" t="s">
        <v>255</v>
      </c>
      <c r="Y29" s="35" t="s">
        <v>255</v>
      </c>
      <c r="Z29" s="35" t="s">
        <v>259</v>
      </c>
      <c r="AA29" s="35" t="s">
        <v>255</v>
      </c>
      <c r="AB29" s="35" t="s">
        <v>255</v>
      </c>
      <c r="AC29" s="35" t="s">
        <v>255</v>
      </c>
      <c r="AD29" s="35" t="s">
        <v>255</v>
      </c>
      <c r="AE29" s="35" t="s">
        <v>255</v>
      </c>
      <c r="AF29" s="35" t="s">
        <v>259</v>
      </c>
      <c r="AG29" s="35" t="s">
        <v>255</v>
      </c>
      <c r="AH29" s="35" t="s">
        <v>255</v>
      </c>
      <c r="AI29" s="35" t="s">
        <v>255</v>
      </c>
      <c r="AJ29" s="35" t="s">
        <v>259</v>
      </c>
      <c r="AK29" s="8" t="s">
        <v>309</v>
      </c>
      <c r="AL29" s="8" t="s">
        <v>261</v>
      </c>
      <c r="AM29" s="8" t="s">
        <v>303</v>
      </c>
      <c r="AN29" s="8" t="s">
        <v>263</v>
      </c>
      <c r="AO29" s="8" t="s">
        <v>264</v>
      </c>
      <c r="AP29" s="35" t="s">
        <v>265</v>
      </c>
      <c r="AQ29" s="39" t="n">
        <v>0.4</v>
      </c>
      <c r="AR29" s="39" t="n">
        <v>4.6</v>
      </c>
      <c r="AS29" s="33" t="n">
        <v>8</v>
      </c>
      <c r="AT29" s="45" t="n">
        <v>5601</v>
      </c>
      <c r="AU29" s="45" t="n">
        <v>610.67</v>
      </c>
      <c r="AV29" s="45" t="n">
        <v>261</v>
      </c>
      <c r="AW29" s="39" t="n">
        <v>96.4</v>
      </c>
      <c r="AX29" s="39" t="n">
        <v>70</v>
      </c>
      <c r="AY29" s="39" t="n">
        <v>38.2</v>
      </c>
      <c r="AZ29" s="39" t="n">
        <v>78</v>
      </c>
      <c r="BA29" s="39" t="n">
        <v>0</v>
      </c>
      <c r="BB29" s="39" t="n">
        <v>99.4</v>
      </c>
      <c r="BC29" s="8" t="s">
        <v>361</v>
      </c>
      <c r="BD29" s="47" t="s">
        <v>307</v>
      </c>
      <c r="BE29" s="41" t="s">
        <v>157</v>
      </c>
    </row>
    <row r="30" customFormat="false" ht="15" hidden="false" customHeight="false" outlineLevel="0" collapsed="false">
      <c r="A30" s="33" t="n">
        <f aca="false">RANK(B30,$B$5:$B$266)</f>
        <v>26</v>
      </c>
      <c r="B30" s="34" t="n">
        <f aca="false">ROUND((AW30*'Scoring Weights'!$B$5+AX30*'Scoring Weights'!$B$6+AY30*'Scoring Weights'!$B$7+BA30*'Scoring Weights'!$B$8+AZ30*'Scoring Weights'!$B$9+BB30*'Scoring Weights'!$B$10)/MAX('Scoring Weights'!$B$11,1),1)</f>
        <v>63</v>
      </c>
      <c r="C30" s="35" t="str">
        <f aca="false">IF(AND(H30&lt;='Search Criteria'!$B$5,D30&gt;='Search Criteria'!$B$6,AQ30&lt;='Search Criteria'!$B$7,I30&lt;=INDEX('Search Criteria'!$B$18:$B$20,MATCH(E30,'Search Criteria'!$A$18:$A$20,0)),OR(NOT('Search Criteria'!$B$8),L30&lt;&gt;"FWD"),OR(NOT('Search Criteria'!$B$9),T30="Yes"),OR(NOT('Search Criteria'!$B$10),W30&gt;0),OR(NOT('Search Criteria'!$B$11),X30="Yes"),OR(NOT('Search Criteria'!$B$12),O30="GREAT",O30="GOOD"),OR(NOT('Search Criteria'!$B$13),K30="Yes")),"YES","no")</f>
        <v>no</v>
      </c>
      <c r="D30" s="33" t="n">
        <v>2022</v>
      </c>
      <c r="E30" s="8" t="s">
        <v>92</v>
      </c>
      <c r="F30" s="8" t="s">
        <v>236</v>
      </c>
      <c r="G30" s="8" t="s">
        <v>296</v>
      </c>
      <c r="H30" s="45" t="n">
        <v>27864</v>
      </c>
      <c r="I30" s="46" t="n">
        <v>46688</v>
      </c>
      <c r="J30" s="37" t="n">
        <f aca="false">IFERROR(ROUND(I30/MAX(2026-D30,0.5),0),"")</f>
        <v>11672</v>
      </c>
      <c r="K30" s="35" t="s">
        <v>259</v>
      </c>
      <c r="L30" s="35" t="s">
        <v>256</v>
      </c>
      <c r="M30" s="35" t="s">
        <v>257</v>
      </c>
      <c r="N30" s="33" t="n">
        <v>28</v>
      </c>
      <c r="O30" s="35" t="s">
        <v>258</v>
      </c>
      <c r="P30" s="45" t="n">
        <v>29861</v>
      </c>
      <c r="Q30" s="38" t="n">
        <v>0.067</v>
      </c>
      <c r="R30" s="35" t="s">
        <v>258</v>
      </c>
      <c r="S30" s="45" t="n">
        <v>260</v>
      </c>
      <c r="T30" s="35" t="s">
        <v>259</v>
      </c>
      <c r="U30" s="33" t="n">
        <v>1</v>
      </c>
      <c r="V30" s="35" t="s">
        <v>255</v>
      </c>
      <c r="W30" s="33" t="n">
        <v>12</v>
      </c>
      <c r="X30" s="35" t="s">
        <v>255</v>
      </c>
      <c r="Y30" s="35" t="s">
        <v>255</v>
      </c>
      <c r="Z30" s="35" t="s">
        <v>255</v>
      </c>
      <c r="AA30" s="35" t="s">
        <v>255</v>
      </c>
      <c r="AB30" s="35" t="s">
        <v>255</v>
      </c>
      <c r="AC30" s="35" t="s">
        <v>255</v>
      </c>
      <c r="AD30" s="35" t="s">
        <v>259</v>
      </c>
      <c r="AE30" s="35" t="s">
        <v>259</v>
      </c>
      <c r="AF30" s="35" t="s">
        <v>259</v>
      </c>
      <c r="AG30" s="35" t="s">
        <v>259</v>
      </c>
      <c r="AH30" s="35" t="s">
        <v>259</v>
      </c>
      <c r="AI30" s="35" t="s">
        <v>255</v>
      </c>
      <c r="AJ30" s="35" t="s">
        <v>259</v>
      </c>
      <c r="AK30" s="8" t="s">
        <v>261</v>
      </c>
      <c r="AL30" s="8" t="s">
        <v>261</v>
      </c>
      <c r="AM30" s="8" t="s">
        <v>278</v>
      </c>
      <c r="AN30" s="8" t="s">
        <v>362</v>
      </c>
      <c r="AO30" s="8" t="s">
        <v>363</v>
      </c>
      <c r="AP30" s="35" t="s">
        <v>265</v>
      </c>
      <c r="AQ30" s="39" t="n">
        <v>7.6</v>
      </c>
      <c r="AR30" s="39" t="n">
        <v>4.7</v>
      </c>
      <c r="AS30" s="33" t="n">
        <v>65</v>
      </c>
      <c r="AT30" s="45"/>
      <c r="AU30" s="45" t="n">
        <v>497.75</v>
      </c>
      <c r="AV30" s="45" t="n">
        <v>250</v>
      </c>
      <c r="AW30" s="39" t="n">
        <v>86.4</v>
      </c>
      <c r="AX30" s="39" t="n">
        <v>87.5</v>
      </c>
      <c r="AY30" s="39" t="n">
        <v>53.1</v>
      </c>
      <c r="AZ30" s="39" t="n">
        <v>52</v>
      </c>
      <c r="BA30" s="39" t="n">
        <v>0</v>
      </c>
      <c r="BB30" s="39" t="n">
        <v>89.9</v>
      </c>
      <c r="BC30" s="8" t="s">
        <v>364</v>
      </c>
      <c r="BD30" s="47" t="s">
        <v>365</v>
      </c>
      <c r="BE30" s="41" t="s">
        <v>366</v>
      </c>
    </row>
    <row r="31" customFormat="false" ht="15" hidden="false" customHeight="false" outlineLevel="0" collapsed="false">
      <c r="A31" s="33" t="n">
        <f aca="false">RANK(B31,$B$5:$B$266)</f>
        <v>26</v>
      </c>
      <c r="B31" s="34" t="n">
        <f aca="false">ROUND((AW31*'Scoring Weights'!$B$5+AX31*'Scoring Weights'!$B$6+AY31*'Scoring Weights'!$B$7+BA31*'Scoring Weights'!$B$8+AZ31*'Scoring Weights'!$B$9+BB31*'Scoring Weights'!$B$10)/MAX('Scoring Weights'!$B$11,1),1)</f>
        <v>63</v>
      </c>
      <c r="C31" s="35" t="str">
        <f aca="false">IF(AND(H31&lt;='Search Criteria'!$B$5,D31&gt;='Search Criteria'!$B$6,AQ31&lt;='Search Criteria'!$B$7,I31&lt;=INDEX('Search Criteria'!$B$18:$B$20,MATCH(E31,'Search Criteria'!$A$18:$A$20,0)),OR(NOT('Search Criteria'!$B$8),L31&lt;&gt;"FWD"),OR(NOT('Search Criteria'!$B$9),T31="Yes"),OR(NOT('Search Criteria'!$B$10),W31&gt;0),OR(NOT('Search Criteria'!$B$11),X31="Yes"),OR(NOT('Search Criteria'!$B$12),O31="GREAT",O31="GOOD"),OR(NOT('Search Criteria'!$B$13),K31="Yes")),"YES","no")</f>
        <v>no</v>
      </c>
      <c r="D31" s="33" t="n">
        <v>2024</v>
      </c>
      <c r="E31" s="8" t="s">
        <v>94</v>
      </c>
      <c r="F31" s="8" t="s">
        <v>232</v>
      </c>
      <c r="G31" s="8" t="s">
        <v>332</v>
      </c>
      <c r="H31" s="45" t="n">
        <v>37990</v>
      </c>
      <c r="I31" s="46" t="n">
        <v>23944</v>
      </c>
      <c r="J31" s="37" t="n">
        <f aca="false">IFERROR(ROUND(I31/MAX(2026-D31,0.5),0),"")</f>
        <v>11972</v>
      </c>
      <c r="K31" s="35" t="s">
        <v>255</v>
      </c>
      <c r="L31" s="35" t="s">
        <v>256</v>
      </c>
      <c r="M31" s="35" t="s">
        <v>302</v>
      </c>
      <c r="N31" s="33" t="n">
        <v>37</v>
      </c>
      <c r="O31" s="35" t="s">
        <v>297</v>
      </c>
      <c r="P31" s="45" t="n">
        <v>33253</v>
      </c>
      <c r="Q31" s="38" t="n">
        <v>-0.142</v>
      </c>
      <c r="R31" s="35" t="s">
        <v>258</v>
      </c>
      <c r="S31" s="45" t="n">
        <v>460</v>
      </c>
      <c r="T31" s="35" t="s">
        <v>259</v>
      </c>
      <c r="U31" s="33" t="n">
        <v>1</v>
      </c>
      <c r="V31" s="35" t="s">
        <v>255</v>
      </c>
      <c r="W31" s="33" t="n">
        <v>1</v>
      </c>
      <c r="X31" s="35" t="s">
        <v>255</v>
      </c>
      <c r="Y31" s="35" t="s">
        <v>255</v>
      </c>
      <c r="Z31" s="35" t="s">
        <v>259</v>
      </c>
      <c r="AA31" s="35" t="s">
        <v>255</v>
      </c>
      <c r="AB31" s="35" t="s">
        <v>255</v>
      </c>
      <c r="AC31" s="35" t="s">
        <v>255</v>
      </c>
      <c r="AD31" s="35" t="s">
        <v>255</v>
      </c>
      <c r="AE31" s="35" t="s">
        <v>255</v>
      </c>
      <c r="AF31" s="35" t="s">
        <v>259</v>
      </c>
      <c r="AG31" s="35" t="s">
        <v>255</v>
      </c>
      <c r="AH31" s="35" t="s">
        <v>255</v>
      </c>
      <c r="AI31" s="35" t="s">
        <v>255</v>
      </c>
      <c r="AJ31" s="35" t="s">
        <v>259</v>
      </c>
      <c r="AK31" s="8" t="s">
        <v>367</v>
      </c>
      <c r="AL31" s="8" t="s">
        <v>261</v>
      </c>
      <c r="AM31" s="8" t="s">
        <v>303</v>
      </c>
      <c r="AN31" s="8" t="s">
        <v>320</v>
      </c>
      <c r="AO31" s="8" t="s">
        <v>321</v>
      </c>
      <c r="AP31" s="35" t="s">
        <v>272</v>
      </c>
      <c r="AQ31" s="39" t="n">
        <v>56.8</v>
      </c>
      <c r="AR31" s="39" t="n">
        <v>4.5</v>
      </c>
      <c r="AS31" s="33" t="n">
        <v>65</v>
      </c>
      <c r="AT31" s="45"/>
      <c r="AU31" s="45" t="n">
        <v>678.64</v>
      </c>
      <c r="AV31" s="45" t="n">
        <v>314</v>
      </c>
      <c r="AW31" s="39" t="n">
        <v>68.9</v>
      </c>
      <c r="AX31" s="39" t="n">
        <v>31.4</v>
      </c>
      <c r="AY31" s="39" t="n">
        <v>61.1</v>
      </c>
      <c r="AZ31" s="39" t="n">
        <v>78</v>
      </c>
      <c r="BA31" s="39" t="n">
        <v>100</v>
      </c>
      <c r="BB31" s="39" t="n">
        <v>24.3</v>
      </c>
      <c r="BC31" s="8" t="s">
        <v>368</v>
      </c>
      <c r="BD31" s="47" t="s">
        <v>307</v>
      </c>
      <c r="BE31" s="41" t="s">
        <v>369</v>
      </c>
    </row>
    <row r="32" customFormat="false" ht="15" hidden="false" customHeight="false" outlineLevel="0" collapsed="false">
      <c r="A32" s="33" t="n">
        <f aca="false">RANK(B32,$B$5:$B$266)</f>
        <v>28</v>
      </c>
      <c r="B32" s="34" t="n">
        <f aca="false">ROUND((AW32*'Scoring Weights'!$B$5+AX32*'Scoring Weights'!$B$6+AY32*'Scoring Weights'!$B$7+BA32*'Scoring Weights'!$B$8+AZ32*'Scoring Weights'!$B$9+BB32*'Scoring Weights'!$B$10)/MAX('Scoring Weights'!$B$11,1),1)</f>
        <v>62.9</v>
      </c>
      <c r="C32" s="35" t="str">
        <f aca="false">IF(AND(H32&lt;='Search Criteria'!$B$5,D32&gt;='Search Criteria'!$B$6,AQ32&lt;='Search Criteria'!$B$7,I32&lt;=INDEX('Search Criteria'!$B$18:$B$20,MATCH(E32,'Search Criteria'!$A$18:$A$20,0)),OR(NOT('Search Criteria'!$B$8),L32&lt;&gt;"FWD"),OR(NOT('Search Criteria'!$B$9),T32="Yes"),OR(NOT('Search Criteria'!$B$10),W32&gt;0),OR(NOT('Search Criteria'!$B$11),X32="Yes"),OR(NOT('Search Criteria'!$B$12),O32="GREAT",O32="GOOD"),OR(NOT('Search Criteria'!$B$13),K32="Yes")),"YES","no")</f>
        <v>YES</v>
      </c>
      <c r="D32" s="33" t="n">
        <v>2025</v>
      </c>
      <c r="E32" s="8" t="s">
        <v>92</v>
      </c>
      <c r="F32" s="8" t="s">
        <v>236</v>
      </c>
      <c r="G32" s="8" t="s">
        <v>296</v>
      </c>
      <c r="H32" s="45" t="n">
        <v>36252</v>
      </c>
      <c r="I32" s="46" t="n">
        <v>14982</v>
      </c>
      <c r="J32" s="37" t="n">
        <f aca="false">IFERROR(ROUND(I32/MAX(2026-D32,0.5),0),"")</f>
        <v>14982</v>
      </c>
      <c r="K32" s="35" t="s">
        <v>259</v>
      </c>
      <c r="L32" s="35" t="s">
        <v>256</v>
      </c>
      <c r="M32" s="35" t="s">
        <v>302</v>
      </c>
      <c r="N32" s="33" t="n">
        <v>39</v>
      </c>
      <c r="O32" s="35" t="s">
        <v>258</v>
      </c>
      <c r="P32" s="45" t="n">
        <v>35975</v>
      </c>
      <c r="Q32" s="38" t="n">
        <v>-0.008</v>
      </c>
      <c r="R32" s="35" t="s">
        <v>258</v>
      </c>
      <c r="S32" s="45" t="n">
        <v>280</v>
      </c>
      <c r="T32" s="35" t="s">
        <v>255</v>
      </c>
      <c r="U32" s="33" t="n">
        <v>1</v>
      </c>
      <c r="V32" s="35" t="s">
        <v>255</v>
      </c>
      <c r="W32" s="33" t="n">
        <v>4</v>
      </c>
      <c r="X32" s="35" t="s">
        <v>255</v>
      </c>
      <c r="Y32" s="35" t="s">
        <v>255</v>
      </c>
      <c r="Z32" s="35" t="s">
        <v>255</v>
      </c>
      <c r="AA32" s="35" t="s">
        <v>255</v>
      </c>
      <c r="AB32" s="35" t="s">
        <v>255</v>
      </c>
      <c r="AC32" s="35" t="s">
        <v>259</v>
      </c>
      <c r="AD32" s="35" t="s">
        <v>259</v>
      </c>
      <c r="AE32" s="35" t="s">
        <v>259</v>
      </c>
      <c r="AF32" s="35" t="s">
        <v>259</v>
      </c>
      <c r="AG32" s="35" t="s">
        <v>259</v>
      </c>
      <c r="AH32" s="35" t="s">
        <v>259</v>
      </c>
      <c r="AI32" s="35" t="s">
        <v>255</v>
      </c>
      <c r="AJ32" s="35" t="s">
        <v>259</v>
      </c>
      <c r="AK32" s="8" t="s">
        <v>261</v>
      </c>
      <c r="AL32" s="8" t="s">
        <v>261</v>
      </c>
      <c r="AM32" s="8" t="s">
        <v>278</v>
      </c>
      <c r="AN32" s="8" t="s">
        <v>370</v>
      </c>
      <c r="AO32" s="8" t="s">
        <v>280</v>
      </c>
      <c r="AP32" s="35" t="s">
        <v>265</v>
      </c>
      <c r="AQ32" s="39" t="n">
        <v>11</v>
      </c>
      <c r="AR32" s="39" t="n">
        <v>4.2</v>
      </c>
      <c r="AS32" s="33" t="n">
        <v>8</v>
      </c>
      <c r="AT32" s="45"/>
      <c r="AU32" s="45" t="n">
        <v>647.59</v>
      </c>
      <c r="AV32" s="45" t="n">
        <v>261</v>
      </c>
      <c r="AW32" s="39" t="n">
        <v>92.8</v>
      </c>
      <c r="AX32" s="39" t="n">
        <v>76.3</v>
      </c>
      <c r="AY32" s="39" t="n">
        <v>67.1</v>
      </c>
      <c r="AZ32" s="39" t="n">
        <v>40</v>
      </c>
      <c r="BA32" s="39" t="n">
        <v>0</v>
      </c>
      <c r="BB32" s="39" t="n">
        <v>85.3</v>
      </c>
      <c r="BC32" s="8" t="s">
        <v>371</v>
      </c>
      <c r="BD32" s="47" t="s">
        <v>290</v>
      </c>
      <c r="BE32" s="41" t="s">
        <v>159</v>
      </c>
    </row>
    <row r="33" customFormat="false" ht="15" hidden="false" customHeight="false" outlineLevel="0" collapsed="false">
      <c r="A33" s="33" t="n">
        <f aca="false">RANK(B33,$B$5:$B$266)</f>
        <v>29</v>
      </c>
      <c r="B33" s="34" t="n">
        <f aca="false">ROUND((AW33*'Scoring Weights'!$B$5+AX33*'Scoring Weights'!$B$6+AY33*'Scoring Weights'!$B$7+BA33*'Scoring Weights'!$B$8+AZ33*'Scoring Weights'!$B$9+BB33*'Scoring Weights'!$B$10)/MAX('Scoring Weights'!$B$11,1),1)</f>
        <v>62.7</v>
      </c>
      <c r="C33" s="35" t="str">
        <f aca="false">IF(AND(H33&lt;='Search Criteria'!$B$5,D33&gt;='Search Criteria'!$B$6,AQ33&lt;='Search Criteria'!$B$7,I33&lt;=INDEX('Search Criteria'!$B$18:$B$20,MATCH(E33,'Search Criteria'!$A$18:$A$20,0)),OR(NOT('Search Criteria'!$B$8),L33&lt;&gt;"FWD"),OR(NOT('Search Criteria'!$B$9),T33="Yes"),OR(NOT('Search Criteria'!$B$10),W33&gt;0),OR(NOT('Search Criteria'!$B$11),X33="Yes"),OR(NOT('Search Criteria'!$B$12),O33="GREAT",O33="GOOD"),OR(NOT('Search Criteria'!$B$13),K33="Yes")),"YES","no")</f>
        <v>YES</v>
      </c>
      <c r="D33" s="33" t="n">
        <v>2025</v>
      </c>
      <c r="E33" s="8" t="s">
        <v>92</v>
      </c>
      <c r="F33" s="8" t="s">
        <v>236</v>
      </c>
      <c r="G33" s="8" t="s">
        <v>296</v>
      </c>
      <c r="H33" s="45" t="n">
        <v>35719</v>
      </c>
      <c r="I33" s="46" t="n">
        <v>54139</v>
      </c>
      <c r="J33" s="37" t="n">
        <f aca="false">IFERROR(ROUND(I33/MAX(2026-D33,0.5),0),"")</f>
        <v>54139</v>
      </c>
      <c r="K33" s="35" t="s">
        <v>255</v>
      </c>
      <c r="L33" s="35" t="s">
        <v>256</v>
      </c>
      <c r="M33" s="35" t="s">
        <v>302</v>
      </c>
      <c r="N33" s="33" t="n">
        <v>39</v>
      </c>
      <c r="O33" s="35" t="s">
        <v>286</v>
      </c>
      <c r="P33" s="45" t="n">
        <v>32850</v>
      </c>
      <c r="Q33" s="38" t="n">
        <v>-0.087</v>
      </c>
      <c r="R33" s="35" t="s">
        <v>258</v>
      </c>
      <c r="S33" s="45" t="n">
        <v>400</v>
      </c>
      <c r="T33" s="35" t="s">
        <v>255</v>
      </c>
      <c r="U33" s="33" t="n">
        <v>1</v>
      </c>
      <c r="V33" s="35" t="s">
        <v>255</v>
      </c>
      <c r="W33" s="33" t="n">
        <v>6</v>
      </c>
      <c r="X33" s="35" t="s">
        <v>255</v>
      </c>
      <c r="Y33" s="35" t="s">
        <v>255</v>
      </c>
      <c r="Z33" s="35" t="s">
        <v>255</v>
      </c>
      <c r="AA33" s="35" t="s">
        <v>255</v>
      </c>
      <c r="AB33" s="35" t="s">
        <v>255</v>
      </c>
      <c r="AC33" s="35" t="s">
        <v>259</v>
      </c>
      <c r="AD33" s="35" t="s">
        <v>259</v>
      </c>
      <c r="AE33" s="35" t="s">
        <v>259</v>
      </c>
      <c r="AF33" s="35" t="s">
        <v>259</v>
      </c>
      <c r="AG33" s="35" t="s">
        <v>259</v>
      </c>
      <c r="AH33" s="35" t="s">
        <v>259</v>
      </c>
      <c r="AI33" s="35" t="s">
        <v>255</v>
      </c>
      <c r="AJ33" s="35" t="s">
        <v>259</v>
      </c>
      <c r="AK33" s="8" t="s">
        <v>358</v>
      </c>
      <c r="AL33" s="8" t="s">
        <v>261</v>
      </c>
      <c r="AM33" s="8" t="s">
        <v>278</v>
      </c>
      <c r="AN33" s="8" t="s">
        <v>288</v>
      </c>
      <c r="AO33" s="8" t="s">
        <v>271</v>
      </c>
      <c r="AP33" s="35" t="s">
        <v>272</v>
      </c>
      <c r="AQ33" s="39" t="n">
        <v>74.7</v>
      </c>
      <c r="AR33" s="39" t="n">
        <v>4.7</v>
      </c>
      <c r="AS33" s="33" t="n">
        <v>24</v>
      </c>
      <c r="AT33" s="45"/>
      <c r="AU33" s="45" t="n">
        <v>638.07</v>
      </c>
      <c r="AV33" s="45" t="n">
        <v>314</v>
      </c>
      <c r="AW33" s="39" t="n">
        <v>95.2</v>
      </c>
      <c r="AX33" s="39" t="n">
        <v>52.3</v>
      </c>
      <c r="AY33" s="39" t="n">
        <v>32.1</v>
      </c>
      <c r="AZ33" s="39" t="n">
        <v>40</v>
      </c>
      <c r="BA33" s="39" t="n">
        <v>100</v>
      </c>
      <c r="BB33" s="39" t="n">
        <v>0.4</v>
      </c>
      <c r="BC33" s="8" t="s">
        <v>372</v>
      </c>
      <c r="BD33" s="47" t="s">
        <v>290</v>
      </c>
      <c r="BE33" s="41" t="s">
        <v>160</v>
      </c>
    </row>
    <row r="34" customFormat="false" ht="15" hidden="false" customHeight="false" outlineLevel="0" collapsed="false">
      <c r="A34" s="33" t="n">
        <f aca="false">RANK(B34,$B$5:$B$266)</f>
        <v>30</v>
      </c>
      <c r="B34" s="34" t="n">
        <f aca="false">ROUND((AW34*'Scoring Weights'!$B$5+AX34*'Scoring Weights'!$B$6+AY34*'Scoring Weights'!$B$7+BA34*'Scoring Weights'!$B$8+AZ34*'Scoring Weights'!$B$9+BB34*'Scoring Weights'!$B$10)/MAX('Scoring Weights'!$B$11,1),1)</f>
        <v>62.2</v>
      </c>
      <c r="C34" s="35" t="str">
        <f aca="false">IF(AND(H34&lt;='Search Criteria'!$B$5,D34&gt;='Search Criteria'!$B$6,AQ34&lt;='Search Criteria'!$B$7,I34&lt;=INDEX('Search Criteria'!$B$18:$B$20,MATCH(E34,'Search Criteria'!$A$18:$A$20,0)),OR(NOT('Search Criteria'!$B$8),L34&lt;&gt;"FWD"),OR(NOT('Search Criteria'!$B$9),T34="Yes"),OR(NOT('Search Criteria'!$B$10),W34&gt;0),OR(NOT('Search Criteria'!$B$11),X34="Yes"),OR(NOT('Search Criteria'!$B$12),O34="GREAT",O34="GOOD"),OR(NOT('Search Criteria'!$B$13),K34="Yes")),"YES","no")</f>
        <v>no</v>
      </c>
      <c r="D34" s="33" t="n">
        <v>2024</v>
      </c>
      <c r="E34" s="8" t="s">
        <v>94</v>
      </c>
      <c r="F34" s="8" t="s">
        <v>232</v>
      </c>
      <c r="G34" s="8" t="s">
        <v>319</v>
      </c>
      <c r="H34" s="45" t="n">
        <v>29812</v>
      </c>
      <c r="I34" s="46" t="n">
        <v>18047</v>
      </c>
      <c r="J34" s="37" t="n">
        <f aca="false">IFERROR(ROUND(I34/MAX(2026-D34,0.5),0),"")</f>
        <v>9024</v>
      </c>
      <c r="K34" s="35" t="s">
        <v>259</v>
      </c>
      <c r="L34" s="35" t="s">
        <v>256</v>
      </c>
      <c r="M34" s="35" t="s">
        <v>257</v>
      </c>
      <c r="N34" s="33" t="n">
        <v>29</v>
      </c>
      <c r="O34" s="35" t="s">
        <v>286</v>
      </c>
      <c r="P34" s="45" t="n">
        <v>33660</v>
      </c>
      <c r="Q34" s="38" t="n">
        <v>0.114</v>
      </c>
      <c r="R34" s="35" t="s">
        <v>258</v>
      </c>
      <c r="S34" s="45" t="n">
        <v>150</v>
      </c>
      <c r="T34" s="35" t="s">
        <v>255</v>
      </c>
      <c r="U34" s="33" t="n">
        <v>1</v>
      </c>
      <c r="V34" s="35" t="s">
        <v>255</v>
      </c>
      <c r="W34" s="33" t="n">
        <v>9</v>
      </c>
      <c r="X34" s="35" t="s">
        <v>259</v>
      </c>
      <c r="Y34" s="35" t="s">
        <v>255</v>
      </c>
      <c r="Z34" s="35" t="s">
        <v>259</v>
      </c>
      <c r="AA34" s="35" t="s">
        <v>259</v>
      </c>
      <c r="AB34" s="35" t="s">
        <v>259</v>
      </c>
      <c r="AC34" s="35" t="s">
        <v>259</v>
      </c>
      <c r="AD34" s="35" t="s">
        <v>259</v>
      </c>
      <c r="AE34" s="35" t="s">
        <v>259</v>
      </c>
      <c r="AF34" s="35" t="s">
        <v>259</v>
      </c>
      <c r="AG34" s="35" t="s">
        <v>259</v>
      </c>
      <c r="AH34" s="35" t="s">
        <v>259</v>
      </c>
      <c r="AI34" s="35" t="s">
        <v>259</v>
      </c>
      <c r="AJ34" s="35" t="s">
        <v>259</v>
      </c>
      <c r="AK34" s="8" t="s">
        <v>260</v>
      </c>
      <c r="AL34" s="8" t="s">
        <v>261</v>
      </c>
      <c r="AM34" s="8" t="s">
        <v>262</v>
      </c>
      <c r="AN34" s="8" t="s">
        <v>263</v>
      </c>
      <c r="AO34" s="8" t="s">
        <v>264</v>
      </c>
      <c r="AP34" s="35" t="s">
        <v>265</v>
      </c>
      <c r="AQ34" s="39" t="n">
        <v>0.4</v>
      </c>
      <c r="AR34" s="39" t="n">
        <v>4.6</v>
      </c>
      <c r="AS34" s="33" t="n">
        <v>13</v>
      </c>
      <c r="AT34" s="45" t="n">
        <v>-598</v>
      </c>
      <c r="AU34" s="45" t="n">
        <v>532.55</v>
      </c>
      <c r="AV34" s="45" t="n">
        <v>261</v>
      </c>
      <c r="AW34" s="39" t="n">
        <v>98.8</v>
      </c>
      <c r="AX34" s="39" t="n">
        <v>82.5</v>
      </c>
      <c r="AY34" s="39" t="n">
        <v>74.4</v>
      </c>
      <c r="AZ34" s="39" t="n">
        <v>0</v>
      </c>
      <c r="BA34" s="39" t="n">
        <v>0</v>
      </c>
      <c r="BB34" s="39" t="n">
        <v>99.4</v>
      </c>
      <c r="BC34" s="8" t="s">
        <v>373</v>
      </c>
      <c r="BD34" s="47" t="s">
        <v>307</v>
      </c>
      <c r="BE34" s="41" t="s">
        <v>374</v>
      </c>
    </row>
    <row r="35" customFormat="false" ht="15" hidden="false" customHeight="false" outlineLevel="0" collapsed="false">
      <c r="A35" s="33" t="n">
        <f aca="false">RANK(B35,$B$5:$B$266)</f>
        <v>31</v>
      </c>
      <c r="B35" s="34" t="n">
        <f aca="false">ROUND((AW35*'Scoring Weights'!$B$5+AX35*'Scoring Weights'!$B$6+AY35*'Scoring Weights'!$B$7+BA35*'Scoring Weights'!$B$8+AZ35*'Scoring Weights'!$B$9+BB35*'Scoring Weights'!$B$10)/MAX('Scoring Weights'!$B$11,1),1)</f>
        <v>62.1</v>
      </c>
      <c r="C35" s="35" t="str">
        <f aca="false">IF(AND(H35&lt;='Search Criteria'!$B$5,D35&gt;='Search Criteria'!$B$6,AQ35&lt;='Search Criteria'!$B$7,I35&lt;=INDEX('Search Criteria'!$B$18:$B$20,MATCH(E35,'Search Criteria'!$A$18:$A$20,0)),OR(NOT('Search Criteria'!$B$8),L35&lt;&gt;"FWD"),OR(NOT('Search Criteria'!$B$9),T35="Yes"),OR(NOT('Search Criteria'!$B$10),W35&gt;0),OR(NOT('Search Criteria'!$B$11),X35="Yes"),OR(NOT('Search Criteria'!$B$12),O35="GREAT",O35="GOOD"),OR(NOT('Search Criteria'!$B$13),K35="Yes")),"YES","no")</f>
        <v>YES</v>
      </c>
      <c r="D35" s="33" t="n">
        <v>2025</v>
      </c>
      <c r="E35" s="8" t="s">
        <v>95</v>
      </c>
      <c r="F35" s="8" t="s">
        <v>234</v>
      </c>
      <c r="G35" s="8" t="s">
        <v>325</v>
      </c>
      <c r="H35" s="45" t="n">
        <v>31233</v>
      </c>
      <c r="I35" s="46" t="n">
        <v>16159</v>
      </c>
      <c r="J35" s="37" t="n">
        <f aca="false">IFERROR(ROUND(I35/MAX(2026-D35,0.5),0),"")</f>
        <v>16159</v>
      </c>
      <c r="K35" s="35" t="s">
        <v>259</v>
      </c>
      <c r="L35" s="35" t="s">
        <v>256</v>
      </c>
      <c r="M35" s="35" t="s">
        <v>257</v>
      </c>
      <c r="N35" s="33" t="n">
        <v>28</v>
      </c>
      <c r="O35" s="35" t="s">
        <v>258</v>
      </c>
      <c r="P35" s="45" t="n">
        <v>32692</v>
      </c>
      <c r="Q35" s="38" t="n">
        <v>0.045</v>
      </c>
      <c r="R35" s="35" t="s">
        <v>286</v>
      </c>
      <c r="S35" s="45" t="n">
        <v>280</v>
      </c>
      <c r="T35" s="35" t="s">
        <v>255</v>
      </c>
      <c r="U35" s="33" t="n">
        <v>1</v>
      </c>
      <c r="V35" s="35" t="s">
        <v>255</v>
      </c>
      <c r="W35" s="33" t="n">
        <v>6</v>
      </c>
      <c r="X35" s="35" t="s">
        <v>255</v>
      </c>
      <c r="Y35" s="35" t="s">
        <v>255</v>
      </c>
      <c r="Z35" s="35" t="s">
        <v>255</v>
      </c>
      <c r="AA35" s="35" t="s">
        <v>255</v>
      </c>
      <c r="AB35" s="35" t="s">
        <v>255</v>
      </c>
      <c r="AC35" s="35" t="s">
        <v>255</v>
      </c>
      <c r="AD35" s="35" t="s">
        <v>255</v>
      </c>
      <c r="AE35" s="35" t="s">
        <v>259</v>
      </c>
      <c r="AF35" s="35" t="s">
        <v>259</v>
      </c>
      <c r="AG35" s="35" t="s">
        <v>259</v>
      </c>
      <c r="AH35" s="35" t="s">
        <v>255</v>
      </c>
      <c r="AI35" s="35" t="s">
        <v>255</v>
      </c>
      <c r="AJ35" s="35" t="s">
        <v>255</v>
      </c>
      <c r="AK35" s="8" t="s">
        <v>261</v>
      </c>
      <c r="AL35" s="8" t="s">
        <v>260</v>
      </c>
      <c r="AM35" s="8" t="s">
        <v>278</v>
      </c>
      <c r="AN35" s="8" t="s">
        <v>375</v>
      </c>
      <c r="AO35" s="8" t="s">
        <v>376</v>
      </c>
      <c r="AP35" s="35" t="s">
        <v>265</v>
      </c>
      <c r="AQ35" s="39" t="n">
        <v>31.9</v>
      </c>
      <c r="AR35" s="39" t="n">
        <v>4.6</v>
      </c>
      <c r="AS35" s="33" t="n">
        <v>37</v>
      </c>
      <c r="AT35" s="45" t="n">
        <v>2765</v>
      </c>
      <c r="AU35" s="45" t="n">
        <v>557.93</v>
      </c>
      <c r="AV35" s="45" t="n">
        <v>235</v>
      </c>
      <c r="AW35" s="39" t="n">
        <v>80.9</v>
      </c>
      <c r="AX35" s="39" t="n">
        <v>84.2</v>
      </c>
      <c r="AY35" s="39" t="n">
        <v>52</v>
      </c>
      <c r="AZ35" s="39" t="n">
        <v>74</v>
      </c>
      <c r="BA35" s="39" t="n">
        <v>0</v>
      </c>
      <c r="BB35" s="39" t="n">
        <v>57.4</v>
      </c>
      <c r="BC35" s="8" t="s">
        <v>377</v>
      </c>
      <c r="BD35" s="47" t="s">
        <v>282</v>
      </c>
      <c r="BE35" s="41" t="s">
        <v>162</v>
      </c>
    </row>
    <row r="36" customFormat="false" ht="15" hidden="false" customHeight="false" outlineLevel="0" collapsed="false">
      <c r="A36" s="33" t="n">
        <f aca="false">RANK(B36,$B$5:$B$266)</f>
        <v>31</v>
      </c>
      <c r="B36" s="34" t="n">
        <f aca="false">ROUND((AW36*'Scoring Weights'!$B$5+AX36*'Scoring Weights'!$B$6+AY36*'Scoring Weights'!$B$7+BA36*'Scoring Weights'!$B$8+AZ36*'Scoring Weights'!$B$9+BB36*'Scoring Weights'!$B$10)/MAX('Scoring Weights'!$B$11,1),1)</f>
        <v>62.1</v>
      </c>
      <c r="C36" s="35" t="str">
        <f aca="false">IF(AND(H36&lt;='Search Criteria'!$B$5,D36&gt;='Search Criteria'!$B$6,AQ36&lt;='Search Criteria'!$B$7,I36&lt;=INDEX('Search Criteria'!$B$18:$B$20,MATCH(E36,'Search Criteria'!$A$18:$A$20,0)),OR(NOT('Search Criteria'!$B$8),L36&lt;&gt;"FWD"),OR(NOT('Search Criteria'!$B$9),T36="Yes"),OR(NOT('Search Criteria'!$B$10),W36&gt;0),OR(NOT('Search Criteria'!$B$11),X36="Yes"),OR(NOT('Search Criteria'!$B$12),O36="GREAT",O36="GOOD"),OR(NOT('Search Criteria'!$B$13),K36="Yes")),"YES","no")</f>
        <v>no</v>
      </c>
      <c r="D36" s="33" t="n">
        <v>2024</v>
      </c>
      <c r="E36" s="8" t="s">
        <v>94</v>
      </c>
      <c r="F36" s="8" t="s">
        <v>232</v>
      </c>
      <c r="G36" s="8" t="s">
        <v>254</v>
      </c>
      <c r="H36" s="45" t="n">
        <v>34861</v>
      </c>
      <c r="I36" s="46" t="n">
        <v>11224</v>
      </c>
      <c r="J36" s="37" t="n">
        <f aca="false">IFERROR(ROUND(I36/MAX(2026-D36,0.5),0),"")</f>
        <v>5612</v>
      </c>
      <c r="K36" s="35" t="s">
        <v>259</v>
      </c>
      <c r="L36" s="35" t="s">
        <v>256</v>
      </c>
      <c r="M36" s="35" t="s">
        <v>257</v>
      </c>
      <c r="N36" s="33" t="n">
        <v>29</v>
      </c>
      <c r="O36" s="35" t="s">
        <v>297</v>
      </c>
      <c r="P36" s="45" t="n">
        <v>34131</v>
      </c>
      <c r="Q36" s="38" t="n">
        <v>-0.021</v>
      </c>
      <c r="R36" s="35" t="s">
        <v>258</v>
      </c>
      <c r="S36" s="45" t="n">
        <v>150</v>
      </c>
      <c r="T36" s="35" t="s">
        <v>255</v>
      </c>
      <c r="U36" s="33" t="n">
        <v>1</v>
      </c>
      <c r="V36" s="35" t="s">
        <v>255</v>
      </c>
      <c r="W36" s="33" t="n">
        <v>3</v>
      </c>
      <c r="X36" s="35" t="s">
        <v>255</v>
      </c>
      <c r="Y36" s="35" t="s">
        <v>255</v>
      </c>
      <c r="Z36" s="35" t="s">
        <v>259</v>
      </c>
      <c r="AA36" s="35" t="s">
        <v>255</v>
      </c>
      <c r="AB36" s="35" t="s">
        <v>255</v>
      </c>
      <c r="AC36" s="35" t="s">
        <v>255</v>
      </c>
      <c r="AD36" s="35" t="s">
        <v>255</v>
      </c>
      <c r="AE36" s="35" t="s">
        <v>259</v>
      </c>
      <c r="AF36" s="35" t="s">
        <v>259</v>
      </c>
      <c r="AG36" s="35" t="s">
        <v>255</v>
      </c>
      <c r="AH36" s="35" t="s">
        <v>255</v>
      </c>
      <c r="AI36" s="35" t="s">
        <v>255</v>
      </c>
      <c r="AJ36" s="35" t="s">
        <v>259</v>
      </c>
      <c r="AK36" s="8" t="s">
        <v>261</v>
      </c>
      <c r="AL36" s="8" t="s">
        <v>261</v>
      </c>
      <c r="AM36" s="8" t="s">
        <v>262</v>
      </c>
      <c r="AN36" s="8" t="s">
        <v>378</v>
      </c>
      <c r="AO36" s="8" t="s">
        <v>379</v>
      </c>
      <c r="AP36" s="35" t="s">
        <v>265</v>
      </c>
      <c r="AQ36" s="39" t="n">
        <v>46.9</v>
      </c>
      <c r="AR36" s="39" t="n">
        <v>4.7</v>
      </c>
      <c r="AS36" s="33" t="n">
        <v>2</v>
      </c>
      <c r="AT36" s="45"/>
      <c r="AU36" s="45" t="n">
        <v>622.74</v>
      </c>
      <c r="AV36" s="45" t="n">
        <v>261</v>
      </c>
      <c r="AW36" s="39" t="n">
        <v>91.6</v>
      </c>
      <c r="AX36" s="39" t="n">
        <v>49.5</v>
      </c>
      <c r="AY36" s="39" t="n">
        <v>88.8</v>
      </c>
      <c r="AZ36" s="39" t="n">
        <v>68</v>
      </c>
      <c r="BA36" s="39" t="n">
        <v>0</v>
      </c>
      <c r="BB36" s="39" t="n">
        <v>37.5</v>
      </c>
      <c r="BC36" s="8" t="s">
        <v>380</v>
      </c>
      <c r="BD36" s="47" t="s">
        <v>307</v>
      </c>
      <c r="BE36" s="41" t="s">
        <v>381</v>
      </c>
    </row>
    <row r="37" customFormat="false" ht="15" hidden="false" customHeight="false" outlineLevel="0" collapsed="false">
      <c r="A37" s="33" t="n">
        <f aca="false">RANK(B37,$B$5:$B$266)</f>
        <v>33</v>
      </c>
      <c r="B37" s="34" t="n">
        <f aca="false">ROUND((AW37*'Scoring Weights'!$B$5+AX37*'Scoring Weights'!$B$6+AY37*'Scoring Weights'!$B$7+BA37*'Scoring Weights'!$B$8+AZ37*'Scoring Weights'!$B$9+BB37*'Scoring Weights'!$B$10)/MAX('Scoring Weights'!$B$11,1),1)</f>
        <v>61.7</v>
      </c>
      <c r="C37" s="35" t="str">
        <f aca="false">IF(AND(H37&lt;='Search Criteria'!$B$5,D37&gt;='Search Criteria'!$B$6,AQ37&lt;='Search Criteria'!$B$7,I37&lt;=INDEX('Search Criteria'!$B$18:$B$20,MATCH(E37,'Search Criteria'!$A$18:$A$20,0)),OR(NOT('Search Criteria'!$B$8),L37&lt;&gt;"FWD"),OR(NOT('Search Criteria'!$B$9),T37="Yes"),OR(NOT('Search Criteria'!$B$10),W37&gt;0),OR(NOT('Search Criteria'!$B$11),X37="Yes"),OR(NOT('Search Criteria'!$B$12),O37="GREAT",O37="GOOD"),OR(NOT('Search Criteria'!$B$13),K37="Yes")),"YES","no")</f>
        <v>no</v>
      </c>
      <c r="D37" s="33" t="n">
        <v>2025</v>
      </c>
      <c r="E37" s="8" t="s">
        <v>95</v>
      </c>
      <c r="F37" s="8" t="s">
        <v>234</v>
      </c>
      <c r="G37" s="8" t="s">
        <v>382</v>
      </c>
      <c r="H37" s="45" t="n">
        <v>35268</v>
      </c>
      <c r="I37" s="46" t="n">
        <v>26625</v>
      </c>
      <c r="J37" s="37" t="n">
        <f aca="false">IFERROR(ROUND(I37/MAX(2026-D37,0.5),0),"")</f>
        <v>26625</v>
      </c>
      <c r="K37" s="35" t="s">
        <v>255</v>
      </c>
      <c r="L37" s="35" t="s">
        <v>256</v>
      </c>
      <c r="M37" s="35" t="s">
        <v>257</v>
      </c>
      <c r="N37" s="33" t="n">
        <v>25</v>
      </c>
      <c r="O37" s="35" t="s">
        <v>276</v>
      </c>
      <c r="P37" s="45" t="n">
        <v>31580</v>
      </c>
      <c r="Q37" s="38" t="n">
        <v>-0.117</v>
      </c>
      <c r="R37" s="35" t="s">
        <v>286</v>
      </c>
      <c r="S37" s="45" t="n">
        <v>260</v>
      </c>
      <c r="T37" s="35" t="s">
        <v>255</v>
      </c>
      <c r="U37" s="33" t="n">
        <v>1</v>
      </c>
      <c r="V37" s="35" t="s">
        <v>259</v>
      </c>
      <c r="W37" s="33" t="n">
        <v>10</v>
      </c>
      <c r="X37" s="35" t="s">
        <v>255</v>
      </c>
      <c r="Y37" s="35" t="s">
        <v>255</v>
      </c>
      <c r="Z37" s="35" t="s">
        <v>255</v>
      </c>
      <c r="AA37" s="35" t="s">
        <v>255</v>
      </c>
      <c r="AB37" s="35" t="s">
        <v>255</v>
      </c>
      <c r="AC37" s="35" t="s">
        <v>255</v>
      </c>
      <c r="AD37" s="35" t="s">
        <v>255</v>
      </c>
      <c r="AE37" s="35" t="s">
        <v>259</v>
      </c>
      <c r="AF37" s="35" t="s">
        <v>259</v>
      </c>
      <c r="AG37" s="35" t="s">
        <v>259</v>
      </c>
      <c r="AH37" s="35" t="s">
        <v>255</v>
      </c>
      <c r="AI37" s="35" t="s">
        <v>255</v>
      </c>
      <c r="AJ37" s="35" t="s">
        <v>255</v>
      </c>
      <c r="AK37" s="8" t="s">
        <v>269</v>
      </c>
      <c r="AL37" s="8" t="s">
        <v>260</v>
      </c>
      <c r="AM37" s="8" t="s">
        <v>383</v>
      </c>
      <c r="AN37" s="8" t="s">
        <v>384</v>
      </c>
      <c r="AO37" s="8" t="s">
        <v>340</v>
      </c>
      <c r="AP37" s="35" t="s">
        <v>265</v>
      </c>
      <c r="AQ37" s="39" t="n">
        <v>59.8</v>
      </c>
      <c r="AR37" s="39" t="n">
        <v>4.8</v>
      </c>
      <c r="AS37" s="33" t="n">
        <v>12</v>
      </c>
      <c r="AT37" s="45"/>
      <c r="AU37" s="45" t="n">
        <v>630.01</v>
      </c>
      <c r="AV37" s="45" t="n">
        <v>268</v>
      </c>
      <c r="AW37" s="39" t="n">
        <v>80.1</v>
      </c>
      <c r="AX37" s="39" t="n">
        <v>39.1</v>
      </c>
      <c r="AY37" s="39" t="n">
        <v>32.7</v>
      </c>
      <c r="AZ37" s="39" t="n">
        <v>74</v>
      </c>
      <c r="BA37" s="39" t="n">
        <v>100</v>
      </c>
      <c r="BB37" s="39" t="n">
        <v>20.3</v>
      </c>
      <c r="BC37" s="8" t="s">
        <v>385</v>
      </c>
      <c r="BD37" s="47" t="s">
        <v>282</v>
      </c>
      <c r="BE37" s="41" t="s">
        <v>386</v>
      </c>
    </row>
    <row r="38" customFormat="false" ht="15" hidden="false" customHeight="false" outlineLevel="0" collapsed="false">
      <c r="A38" s="33" t="n">
        <f aca="false">RANK(B38,$B$5:$B$266)</f>
        <v>34</v>
      </c>
      <c r="B38" s="34" t="n">
        <f aca="false">ROUND((AW38*'Scoring Weights'!$B$5+AX38*'Scoring Weights'!$B$6+AY38*'Scoring Weights'!$B$7+BA38*'Scoring Weights'!$B$8+AZ38*'Scoring Weights'!$B$9+BB38*'Scoring Weights'!$B$10)/MAX('Scoring Weights'!$B$11,1),1)</f>
        <v>61.4</v>
      </c>
      <c r="C38" s="35" t="str">
        <f aca="false">IF(AND(H38&lt;='Search Criteria'!$B$5,D38&gt;='Search Criteria'!$B$6,AQ38&lt;='Search Criteria'!$B$7,I38&lt;=INDEX('Search Criteria'!$B$18:$B$20,MATCH(E38,'Search Criteria'!$A$18:$A$20,0)),OR(NOT('Search Criteria'!$B$8),L38&lt;&gt;"FWD"),OR(NOT('Search Criteria'!$B$9),T38="Yes"),OR(NOT('Search Criteria'!$B$10),W38&gt;0),OR(NOT('Search Criteria'!$B$11),X38="Yes"),OR(NOT('Search Criteria'!$B$12),O38="GREAT",O38="GOOD"),OR(NOT('Search Criteria'!$B$13),K38="Yes")),"YES","no")</f>
        <v>no</v>
      </c>
      <c r="D38" s="33" t="n">
        <v>2025</v>
      </c>
      <c r="E38" s="8" t="s">
        <v>92</v>
      </c>
      <c r="F38" s="8" t="s">
        <v>236</v>
      </c>
      <c r="G38" s="8" t="s">
        <v>296</v>
      </c>
      <c r="H38" s="45" t="n">
        <v>35270</v>
      </c>
      <c r="I38" s="46" t="n">
        <v>36603</v>
      </c>
      <c r="J38" s="37" t="n">
        <f aca="false">IFERROR(ROUND(I38/MAX(2026-D38,0.5),0),"")</f>
        <v>36603</v>
      </c>
      <c r="K38" s="35" t="s">
        <v>255</v>
      </c>
      <c r="L38" s="35" t="s">
        <v>256</v>
      </c>
      <c r="M38" s="35" t="s">
        <v>257</v>
      </c>
      <c r="N38" s="33" t="n">
        <v>28</v>
      </c>
      <c r="O38" s="35" t="s">
        <v>276</v>
      </c>
      <c r="P38" s="45" t="n">
        <v>34249</v>
      </c>
      <c r="Q38" s="38" t="n">
        <v>-0.03</v>
      </c>
      <c r="R38" s="35" t="s">
        <v>258</v>
      </c>
      <c r="S38" s="45" t="n">
        <v>230</v>
      </c>
      <c r="T38" s="35" t="s">
        <v>255</v>
      </c>
      <c r="U38" s="33" t="n">
        <v>1</v>
      </c>
      <c r="V38" s="35" t="s">
        <v>259</v>
      </c>
      <c r="W38" s="33" t="n">
        <v>2</v>
      </c>
      <c r="X38" s="35" t="s">
        <v>259</v>
      </c>
      <c r="Y38" s="35" t="s">
        <v>255</v>
      </c>
      <c r="Z38" s="35" t="s">
        <v>259</v>
      </c>
      <c r="AA38" s="35" t="s">
        <v>259</v>
      </c>
      <c r="AB38" s="35" t="s">
        <v>255</v>
      </c>
      <c r="AC38" s="35" t="s">
        <v>259</v>
      </c>
      <c r="AD38" s="35" t="s">
        <v>259</v>
      </c>
      <c r="AE38" s="35" t="s">
        <v>259</v>
      </c>
      <c r="AF38" s="35" t="s">
        <v>259</v>
      </c>
      <c r="AG38" s="35" t="s">
        <v>259</v>
      </c>
      <c r="AH38" s="35" t="s">
        <v>259</v>
      </c>
      <c r="AI38" s="35" t="s">
        <v>255</v>
      </c>
      <c r="AJ38" s="35" t="s">
        <v>259</v>
      </c>
      <c r="AK38" s="8" t="s">
        <v>269</v>
      </c>
      <c r="AL38" s="8" t="s">
        <v>261</v>
      </c>
      <c r="AM38" s="8" t="s">
        <v>278</v>
      </c>
      <c r="AN38" s="8" t="s">
        <v>355</v>
      </c>
      <c r="AO38" s="8" t="s">
        <v>356</v>
      </c>
      <c r="AP38" s="35" t="s">
        <v>272</v>
      </c>
      <c r="AQ38" s="39" t="n">
        <v>34.7</v>
      </c>
      <c r="AR38" s="39" t="n">
        <v>4.6</v>
      </c>
      <c r="AS38" s="33" t="n">
        <v>16</v>
      </c>
      <c r="AT38" s="45"/>
      <c r="AU38" s="45" t="n">
        <v>630.05</v>
      </c>
      <c r="AV38" s="45" t="n">
        <v>280</v>
      </c>
      <c r="AW38" s="39" t="n">
        <v>84.8</v>
      </c>
      <c r="AX38" s="39" t="n">
        <v>52.1</v>
      </c>
      <c r="AY38" s="39" t="n">
        <v>44.4</v>
      </c>
      <c r="AZ38" s="39" t="n">
        <v>16</v>
      </c>
      <c r="BA38" s="39" t="n">
        <v>100</v>
      </c>
      <c r="BB38" s="39" t="n">
        <v>53.7</v>
      </c>
      <c r="BC38" s="8" t="s">
        <v>387</v>
      </c>
      <c r="BD38" s="47" t="s">
        <v>290</v>
      </c>
      <c r="BE38" s="41" t="s">
        <v>388</v>
      </c>
    </row>
    <row r="39" customFormat="false" ht="15" hidden="false" customHeight="false" outlineLevel="0" collapsed="false">
      <c r="A39" s="33" t="n">
        <f aca="false">RANK(B39,$B$5:$B$266)</f>
        <v>35</v>
      </c>
      <c r="B39" s="34" t="n">
        <f aca="false">ROUND((AW39*'Scoring Weights'!$B$5+AX39*'Scoring Weights'!$B$6+AY39*'Scoring Weights'!$B$7+BA39*'Scoring Weights'!$B$8+AZ39*'Scoring Weights'!$B$9+BB39*'Scoring Weights'!$B$10)/MAX('Scoring Weights'!$B$11,1),1)</f>
        <v>61.1</v>
      </c>
      <c r="C39" s="35" t="str">
        <f aca="false">IF(AND(H39&lt;='Search Criteria'!$B$5,D39&gt;='Search Criteria'!$B$6,AQ39&lt;='Search Criteria'!$B$7,I39&lt;=INDEX('Search Criteria'!$B$18:$B$20,MATCH(E39,'Search Criteria'!$A$18:$A$20,0)),OR(NOT('Search Criteria'!$B$8),L39&lt;&gt;"FWD"),OR(NOT('Search Criteria'!$B$9),T39="Yes"),OR(NOT('Search Criteria'!$B$10),W39&gt;0),OR(NOT('Search Criteria'!$B$11),X39="Yes"),OR(NOT('Search Criteria'!$B$12),O39="GREAT",O39="GOOD"),OR(NOT('Search Criteria'!$B$13),K39="Yes")),"YES","no")</f>
        <v>no</v>
      </c>
      <c r="D39" s="33" t="n">
        <v>2025</v>
      </c>
      <c r="E39" s="8" t="s">
        <v>94</v>
      </c>
      <c r="F39" s="8" t="s">
        <v>233</v>
      </c>
      <c r="G39" s="8" t="s">
        <v>301</v>
      </c>
      <c r="H39" s="45" t="n">
        <v>26563</v>
      </c>
      <c r="I39" s="46" t="n">
        <v>22698</v>
      </c>
      <c r="J39" s="37" t="n">
        <f aca="false">IFERROR(ROUND(I39/MAX(2026-D39,0.5),0),"")</f>
        <v>22698</v>
      </c>
      <c r="K39" s="35" t="s">
        <v>255</v>
      </c>
      <c r="L39" s="35" t="s">
        <v>256</v>
      </c>
      <c r="M39" s="35" t="s">
        <v>257</v>
      </c>
      <c r="N39" s="33" t="n">
        <v>27</v>
      </c>
      <c r="O39" s="35" t="s">
        <v>258</v>
      </c>
      <c r="P39" s="45" t="n">
        <v>27028</v>
      </c>
      <c r="Q39" s="38" t="n">
        <v>0.017</v>
      </c>
      <c r="R39" s="35" t="s">
        <v>258</v>
      </c>
      <c r="S39" s="45" t="n">
        <v>510</v>
      </c>
      <c r="T39" s="35" t="s">
        <v>259</v>
      </c>
      <c r="U39" s="33" t="n">
        <v>2</v>
      </c>
      <c r="V39" s="35" t="s">
        <v>259</v>
      </c>
      <c r="W39" s="33" t="n">
        <v>6</v>
      </c>
      <c r="X39" s="35" t="s">
        <v>255</v>
      </c>
      <c r="Y39" s="35" t="s">
        <v>255</v>
      </c>
      <c r="Z39" s="35" t="s">
        <v>259</v>
      </c>
      <c r="AA39" s="35" t="s">
        <v>259</v>
      </c>
      <c r="AB39" s="35" t="s">
        <v>255</v>
      </c>
      <c r="AC39" s="35" t="s">
        <v>259</v>
      </c>
      <c r="AD39" s="35" t="s">
        <v>255</v>
      </c>
      <c r="AE39" s="35" t="s">
        <v>259</v>
      </c>
      <c r="AF39" s="35" t="s">
        <v>259</v>
      </c>
      <c r="AG39" s="35" t="s">
        <v>259</v>
      </c>
      <c r="AH39" s="35" t="s">
        <v>259</v>
      </c>
      <c r="AI39" s="35" t="s">
        <v>259</v>
      </c>
      <c r="AJ39" s="35" t="s">
        <v>259</v>
      </c>
      <c r="AK39" s="8" t="s">
        <v>292</v>
      </c>
      <c r="AL39" s="8" t="s">
        <v>261</v>
      </c>
      <c r="AM39" s="8" t="s">
        <v>303</v>
      </c>
      <c r="AN39" s="8" t="s">
        <v>270</v>
      </c>
      <c r="AO39" s="8" t="s">
        <v>271</v>
      </c>
      <c r="AP39" s="35" t="s">
        <v>272</v>
      </c>
      <c r="AQ39" s="39" t="n">
        <v>71</v>
      </c>
      <c r="AR39" s="39" t="n">
        <v>4.7</v>
      </c>
      <c r="AS39" s="33" t="n">
        <v>78</v>
      </c>
      <c r="AT39" s="45"/>
      <c r="AU39" s="45" t="n">
        <v>474.51</v>
      </c>
      <c r="AV39" s="45" t="n">
        <v>314</v>
      </c>
      <c r="AW39" s="39" t="n">
        <v>63</v>
      </c>
      <c r="AX39" s="39" t="n">
        <v>80.1</v>
      </c>
      <c r="AY39" s="39" t="n">
        <v>47.3</v>
      </c>
      <c r="AZ39" s="39" t="n">
        <v>24</v>
      </c>
      <c r="BA39" s="39" t="n">
        <v>100</v>
      </c>
      <c r="BB39" s="39" t="n">
        <v>5.4</v>
      </c>
      <c r="BC39" s="8" t="s">
        <v>389</v>
      </c>
      <c r="BD39" s="47" t="s">
        <v>390</v>
      </c>
      <c r="BE39" s="41" t="s">
        <v>391</v>
      </c>
    </row>
    <row r="40" customFormat="false" ht="15" hidden="false" customHeight="false" outlineLevel="0" collapsed="false">
      <c r="A40" s="33" t="n">
        <f aca="false">RANK(B40,$B$5:$B$266)</f>
        <v>35</v>
      </c>
      <c r="B40" s="34" t="n">
        <f aca="false">ROUND((AW40*'Scoring Weights'!$B$5+AX40*'Scoring Weights'!$B$6+AY40*'Scoring Weights'!$B$7+BA40*'Scoring Weights'!$B$8+AZ40*'Scoring Weights'!$B$9+BB40*'Scoring Weights'!$B$10)/MAX('Scoring Weights'!$B$11,1),1)</f>
        <v>61.1</v>
      </c>
      <c r="C40" s="35" t="str">
        <f aca="false">IF(AND(H40&lt;='Search Criteria'!$B$5,D40&gt;='Search Criteria'!$B$6,AQ40&lt;='Search Criteria'!$B$7,I40&lt;=INDEX('Search Criteria'!$B$18:$B$20,MATCH(E40,'Search Criteria'!$A$18:$A$20,0)),OR(NOT('Search Criteria'!$B$8),L40&lt;&gt;"FWD"),OR(NOT('Search Criteria'!$B$9),T40="Yes"),OR(NOT('Search Criteria'!$B$10),W40&gt;0),OR(NOT('Search Criteria'!$B$11),X40="Yes"),OR(NOT('Search Criteria'!$B$12),O40="GREAT",O40="GOOD"),OR(NOT('Search Criteria'!$B$13),K40="Yes")),"YES","no")</f>
        <v>no</v>
      </c>
      <c r="D40" s="33" t="n">
        <v>2025</v>
      </c>
      <c r="E40" s="8" t="s">
        <v>92</v>
      </c>
      <c r="F40" s="8" t="s">
        <v>236</v>
      </c>
      <c r="G40" s="8" t="s">
        <v>296</v>
      </c>
      <c r="H40" s="45" t="n">
        <v>32997</v>
      </c>
      <c r="I40" s="46" t="n">
        <v>39877</v>
      </c>
      <c r="J40" s="37" t="n">
        <f aca="false">IFERROR(ROUND(I40/MAX(2026-D40,0.5),0),"")</f>
        <v>39877</v>
      </c>
      <c r="K40" s="35" t="s">
        <v>255</v>
      </c>
      <c r="L40" s="35" t="s">
        <v>256</v>
      </c>
      <c r="M40" s="35" t="s">
        <v>257</v>
      </c>
      <c r="N40" s="33" t="n">
        <v>28</v>
      </c>
      <c r="O40" s="35" t="s">
        <v>286</v>
      </c>
      <c r="P40" s="45" t="n">
        <v>33988</v>
      </c>
      <c r="Q40" s="38" t="n">
        <v>0.029</v>
      </c>
      <c r="R40" s="35" t="s">
        <v>258</v>
      </c>
      <c r="S40" s="45" t="n">
        <v>260</v>
      </c>
      <c r="T40" s="35" t="s">
        <v>255</v>
      </c>
      <c r="U40" s="33" t="n">
        <v>2</v>
      </c>
      <c r="V40" s="35" t="s">
        <v>259</v>
      </c>
      <c r="W40" s="33" t="n">
        <v>2</v>
      </c>
      <c r="X40" s="35" t="s">
        <v>259</v>
      </c>
      <c r="Y40" s="35" t="s">
        <v>255</v>
      </c>
      <c r="Z40" s="35" t="s">
        <v>259</v>
      </c>
      <c r="AA40" s="35" t="s">
        <v>259</v>
      </c>
      <c r="AB40" s="35" t="s">
        <v>255</v>
      </c>
      <c r="AC40" s="35" t="s">
        <v>259</v>
      </c>
      <c r="AD40" s="35" t="s">
        <v>259</v>
      </c>
      <c r="AE40" s="35" t="s">
        <v>259</v>
      </c>
      <c r="AF40" s="35" t="s">
        <v>259</v>
      </c>
      <c r="AG40" s="35" t="s">
        <v>259</v>
      </c>
      <c r="AH40" s="35" t="s">
        <v>259</v>
      </c>
      <c r="AI40" s="35" t="s">
        <v>255</v>
      </c>
      <c r="AJ40" s="35" t="s">
        <v>259</v>
      </c>
      <c r="AK40" s="8" t="s">
        <v>269</v>
      </c>
      <c r="AL40" s="8" t="s">
        <v>261</v>
      </c>
      <c r="AM40" s="8" t="s">
        <v>278</v>
      </c>
      <c r="AN40" s="8" t="s">
        <v>335</v>
      </c>
      <c r="AO40" s="8" t="s">
        <v>321</v>
      </c>
      <c r="AP40" s="35" t="s">
        <v>272</v>
      </c>
      <c r="AQ40" s="39" t="n">
        <v>56.8</v>
      </c>
      <c r="AR40" s="39" t="n">
        <v>4.6</v>
      </c>
      <c r="AS40" s="33" t="n">
        <v>50</v>
      </c>
      <c r="AT40" s="45"/>
      <c r="AU40" s="45" t="n">
        <v>589.44</v>
      </c>
      <c r="AV40" s="45" t="n">
        <v>345</v>
      </c>
      <c r="AW40" s="39" t="n">
        <v>76</v>
      </c>
      <c r="AX40" s="39" t="n">
        <v>69.8</v>
      </c>
      <c r="AY40" s="39" t="n">
        <v>42.1</v>
      </c>
      <c r="AZ40" s="39" t="n">
        <v>16</v>
      </c>
      <c r="BA40" s="39" t="n">
        <v>100</v>
      </c>
      <c r="BB40" s="39" t="n">
        <v>24.2</v>
      </c>
      <c r="BC40" s="8" t="s">
        <v>392</v>
      </c>
      <c r="BD40" s="47" t="s">
        <v>290</v>
      </c>
      <c r="BE40" s="41" t="s">
        <v>393</v>
      </c>
    </row>
    <row r="41" customFormat="false" ht="15" hidden="false" customHeight="false" outlineLevel="0" collapsed="false">
      <c r="A41" s="33" t="n">
        <f aca="false">RANK(B41,$B$5:$B$266)</f>
        <v>35</v>
      </c>
      <c r="B41" s="34" t="n">
        <f aca="false">ROUND((AW41*'Scoring Weights'!$B$5+AX41*'Scoring Weights'!$B$6+AY41*'Scoring Weights'!$B$7+BA41*'Scoring Weights'!$B$8+AZ41*'Scoring Weights'!$B$9+BB41*'Scoring Weights'!$B$10)/MAX('Scoring Weights'!$B$11,1),1)</f>
        <v>61.1</v>
      </c>
      <c r="C41" s="35" t="str">
        <f aca="false">IF(AND(H41&lt;='Search Criteria'!$B$5,D41&gt;='Search Criteria'!$B$6,AQ41&lt;='Search Criteria'!$B$7,I41&lt;=INDEX('Search Criteria'!$B$18:$B$20,MATCH(E41,'Search Criteria'!$A$18:$A$20,0)),OR(NOT('Search Criteria'!$B$8),L41&lt;&gt;"FWD"),OR(NOT('Search Criteria'!$B$9),T41="Yes"),OR(NOT('Search Criteria'!$B$10),W41&gt;0),OR(NOT('Search Criteria'!$B$11),X41="Yes"),OR(NOT('Search Criteria'!$B$12),O41="GREAT",O41="GOOD"),OR(NOT('Search Criteria'!$B$13),K41="Yes")),"YES","no")</f>
        <v>YES</v>
      </c>
      <c r="D41" s="33" t="n">
        <v>2025</v>
      </c>
      <c r="E41" s="8" t="s">
        <v>94</v>
      </c>
      <c r="F41" s="8" t="s">
        <v>232</v>
      </c>
      <c r="G41" s="8" t="s">
        <v>332</v>
      </c>
      <c r="H41" s="45" t="n">
        <v>35094</v>
      </c>
      <c r="I41" s="46" t="n">
        <v>29734</v>
      </c>
      <c r="J41" s="37" t="n">
        <f aca="false">IFERROR(ROUND(I41/MAX(2026-D41,0.5),0),"")</f>
        <v>29734</v>
      </c>
      <c r="K41" s="35" t="s">
        <v>259</v>
      </c>
      <c r="L41" s="35" t="s">
        <v>256</v>
      </c>
      <c r="M41" s="35" t="s">
        <v>302</v>
      </c>
      <c r="N41" s="33" t="n">
        <v>37</v>
      </c>
      <c r="O41" s="35" t="s">
        <v>258</v>
      </c>
      <c r="P41" s="45" t="n">
        <v>33990</v>
      </c>
      <c r="Q41" s="38" t="n">
        <v>-0.032</v>
      </c>
      <c r="R41" s="35" t="s">
        <v>277</v>
      </c>
      <c r="S41" s="45"/>
      <c r="T41" s="35" t="s">
        <v>255</v>
      </c>
      <c r="U41" s="33" t="n">
        <v>2</v>
      </c>
      <c r="V41" s="35" t="s">
        <v>259</v>
      </c>
      <c r="W41" s="33" t="n">
        <v>9</v>
      </c>
      <c r="X41" s="35" t="s">
        <v>255</v>
      </c>
      <c r="Y41" s="35" t="s">
        <v>255</v>
      </c>
      <c r="Z41" s="35" t="s">
        <v>259</v>
      </c>
      <c r="AA41" s="35" t="s">
        <v>255</v>
      </c>
      <c r="AB41" s="35" t="s">
        <v>255</v>
      </c>
      <c r="AC41" s="35" t="s">
        <v>255</v>
      </c>
      <c r="AD41" s="35" t="s">
        <v>255</v>
      </c>
      <c r="AE41" s="35" t="s">
        <v>255</v>
      </c>
      <c r="AF41" s="35" t="s">
        <v>259</v>
      </c>
      <c r="AG41" s="35" t="s">
        <v>255</v>
      </c>
      <c r="AH41" s="35" t="s">
        <v>255</v>
      </c>
      <c r="AI41" s="35" t="s">
        <v>255</v>
      </c>
      <c r="AJ41" s="35" t="s">
        <v>259</v>
      </c>
      <c r="AK41" s="8" t="s">
        <v>260</v>
      </c>
      <c r="AL41" s="8" t="s">
        <v>358</v>
      </c>
      <c r="AM41" s="8" t="s">
        <v>303</v>
      </c>
      <c r="AN41" s="8" t="s">
        <v>263</v>
      </c>
      <c r="AO41" s="8" t="s">
        <v>264</v>
      </c>
      <c r="AP41" s="35" t="s">
        <v>265</v>
      </c>
      <c r="AQ41" s="39" t="n">
        <v>0.4</v>
      </c>
      <c r="AR41" s="39" t="n">
        <v>4.6</v>
      </c>
      <c r="AS41" s="33" t="n">
        <v>13</v>
      </c>
      <c r="AT41" s="45" t="n">
        <v>5666</v>
      </c>
      <c r="AU41" s="45" t="n">
        <v>626.9</v>
      </c>
      <c r="AV41" s="45" t="n">
        <v>261</v>
      </c>
      <c r="AW41" s="39" t="n">
        <v>84.4</v>
      </c>
      <c r="AX41" s="39" t="n">
        <v>72.6</v>
      </c>
      <c r="AY41" s="39" t="n">
        <v>40.3</v>
      </c>
      <c r="AZ41" s="39" t="n">
        <v>78</v>
      </c>
      <c r="BA41" s="39" t="n">
        <v>0</v>
      </c>
      <c r="BB41" s="39" t="n">
        <v>99.4</v>
      </c>
      <c r="BC41" s="8" t="s">
        <v>394</v>
      </c>
      <c r="BD41" s="47" t="s">
        <v>274</v>
      </c>
      <c r="BE41" s="41" t="s">
        <v>163</v>
      </c>
    </row>
    <row r="42" customFormat="false" ht="15" hidden="false" customHeight="false" outlineLevel="0" collapsed="false">
      <c r="A42" s="33" t="n">
        <f aca="false">RANK(B42,$B$5:$B$266)</f>
        <v>38</v>
      </c>
      <c r="B42" s="34" t="n">
        <f aca="false">ROUND((AW42*'Scoring Weights'!$B$5+AX42*'Scoring Weights'!$B$6+AY42*'Scoring Weights'!$B$7+BA42*'Scoring Weights'!$B$8+AZ42*'Scoring Weights'!$B$9+BB42*'Scoring Weights'!$B$10)/MAX('Scoring Weights'!$B$11,1),1)</f>
        <v>60.2</v>
      </c>
      <c r="C42" s="35" t="str">
        <f aca="false">IF(AND(H42&lt;='Search Criteria'!$B$5,D42&gt;='Search Criteria'!$B$6,AQ42&lt;='Search Criteria'!$B$7,I42&lt;=INDEX('Search Criteria'!$B$18:$B$20,MATCH(E42,'Search Criteria'!$A$18:$A$20,0)),OR(NOT('Search Criteria'!$B$8),L42&lt;&gt;"FWD"),OR(NOT('Search Criteria'!$B$9),T42="Yes"),OR(NOT('Search Criteria'!$B$10),W42&gt;0),OR(NOT('Search Criteria'!$B$11),X42="Yes"),OR(NOT('Search Criteria'!$B$12),O42="GREAT",O42="GOOD"),OR(NOT('Search Criteria'!$B$13),K42="Yes")),"YES","no")</f>
        <v>no</v>
      </c>
      <c r="D42" s="33" t="n">
        <v>2025</v>
      </c>
      <c r="E42" s="8" t="s">
        <v>92</v>
      </c>
      <c r="F42" s="8" t="s">
        <v>236</v>
      </c>
      <c r="G42" s="8" t="s">
        <v>296</v>
      </c>
      <c r="H42" s="45" t="n">
        <v>35250</v>
      </c>
      <c r="I42" s="46" t="n">
        <v>33433</v>
      </c>
      <c r="J42" s="37" t="n">
        <f aca="false">IFERROR(ROUND(I42/MAX(2026-D42,0.5),0),"")</f>
        <v>33433</v>
      </c>
      <c r="K42" s="35" t="s">
        <v>255</v>
      </c>
      <c r="L42" s="35" t="s">
        <v>256</v>
      </c>
      <c r="M42" s="35" t="s">
        <v>257</v>
      </c>
      <c r="N42" s="33" t="n">
        <v>28</v>
      </c>
      <c r="O42" s="35" t="s">
        <v>297</v>
      </c>
      <c r="P42" s="45" t="n">
        <v>34503</v>
      </c>
      <c r="Q42" s="38" t="n">
        <v>-0.022</v>
      </c>
      <c r="R42" s="35" t="s">
        <v>258</v>
      </c>
      <c r="S42" s="45" t="n">
        <v>260</v>
      </c>
      <c r="T42" s="35" t="s">
        <v>255</v>
      </c>
      <c r="U42" s="33" t="n">
        <v>1</v>
      </c>
      <c r="V42" s="35" t="s">
        <v>259</v>
      </c>
      <c r="W42" s="33" t="n">
        <v>4</v>
      </c>
      <c r="X42" s="35" t="s">
        <v>259</v>
      </c>
      <c r="Y42" s="35" t="s">
        <v>255</v>
      </c>
      <c r="Z42" s="35" t="s">
        <v>259</v>
      </c>
      <c r="AA42" s="35" t="s">
        <v>259</v>
      </c>
      <c r="AB42" s="35" t="s">
        <v>255</v>
      </c>
      <c r="AC42" s="35" t="s">
        <v>259</v>
      </c>
      <c r="AD42" s="35" t="s">
        <v>259</v>
      </c>
      <c r="AE42" s="35" t="s">
        <v>259</v>
      </c>
      <c r="AF42" s="35" t="s">
        <v>259</v>
      </c>
      <c r="AG42" s="35" t="s">
        <v>259</v>
      </c>
      <c r="AH42" s="35" t="s">
        <v>259</v>
      </c>
      <c r="AI42" s="35" t="s">
        <v>255</v>
      </c>
      <c r="AJ42" s="35" t="s">
        <v>259</v>
      </c>
      <c r="AK42" s="8" t="s">
        <v>269</v>
      </c>
      <c r="AL42" s="8" t="s">
        <v>261</v>
      </c>
      <c r="AM42" s="8" t="s">
        <v>278</v>
      </c>
      <c r="AN42" s="8" t="s">
        <v>339</v>
      </c>
      <c r="AO42" s="8" t="s">
        <v>340</v>
      </c>
      <c r="AP42" s="35" t="s">
        <v>265</v>
      </c>
      <c r="AQ42" s="39" t="n">
        <v>59.9</v>
      </c>
      <c r="AR42" s="39" t="n">
        <v>4.5</v>
      </c>
      <c r="AS42" s="33" t="n">
        <v>96</v>
      </c>
      <c r="AT42" s="45"/>
      <c r="AU42" s="45" t="n">
        <v>629.69</v>
      </c>
      <c r="AV42" s="45" t="n">
        <v>262</v>
      </c>
      <c r="AW42" s="39" t="n">
        <v>87.2</v>
      </c>
      <c r="AX42" s="39" t="n">
        <v>49.5</v>
      </c>
      <c r="AY42" s="39" t="n">
        <v>46.6</v>
      </c>
      <c r="AZ42" s="39" t="n">
        <v>16</v>
      </c>
      <c r="BA42" s="39" t="n">
        <v>100</v>
      </c>
      <c r="BB42" s="39" t="n">
        <v>20.2</v>
      </c>
      <c r="BC42" s="8" t="s">
        <v>395</v>
      </c>
      <c r="BD42" s="47" t="s">
        <v>290</v>
      </c>
      <c r="BE42" s="41" t="s">
        <v>396</v>
      </c>
    </row>
    <row r="43" customFormat="false" ht="15" hidden="false" customHeight="false" outlineLevel="0" collapsed="false">
      <c r="A43" s="33" t="n">
        <f aca="false">RANK(B43,$B$5:$B$266)</f>
        <v>39</v>
      </c>
      <c r="B43" s="34" t="n">
        <f aca="false">ROUND((AW43*'Scoring Weights'!$B$5+AX43*'Scoring Weights'!$B$6+AY43*'Scoring Weights'!$B$7+BA43*'Scoring Weights'!$B$8+AZ43*'Scoring Weights'!$B$9+BB43*'Scoring Weights'!$B$10)/MAX('Scoring Weights'!$B$11,1),1)</f>
        <v>59.5</v>
      </c>
      <c r="C43" s="35" t="str">
        <f aca="false">IF(AND(H43&lt;='Search Criteria'!$B$5,D43&gt;='Search Criteria'!$B$6,AQ43&lt;='Search Criteria'!$B$7,I43&lt;=INDEX('Search Criteria'!$B$18:$B$20,MATCH(E43,'Search Criteria'!$A$18:$A$20,0)),OR(NOT('Search Criteria'!$B$8),L43&lt;&gt;"FWD"),OR(NOT('Search Criteria'!$B$9),T43="Yes"),OR(NOT('Search Criteria'!$B$10),W43&gt;0),OR(NOT('Search Criteria'!$B$11),X43="Yes"),OR(NOT('Search Criteria'!$B$12),O43="GREAT",O43="GOOD"),OR(NOT('Search Criteria'!$B$13),K43="Yes")),"YES","no")</f>
        <v>no</v>
      </c>
      <c r="D43" s="33" t="n">
        <v>2022</v>
      </c>
      <c r="E43" s="8" t="s">
        <v>92</v>
      </c>
      <c r="F43" s="8" t="s">
        <v>236</v>
      </c>
      <c r="G43" s="8" t="s">
        <v>296</v>
      </c>
      <c r="H43" s="45" t="n">
        <v>29661</v>
      </c>
      <c r="I43" s="46" t="n">
        <v>28369</v>
      </c>
      <c r="J43" s="37" t="n">
        <f aca="false">IFERROR(ROUND(I43/MAX(2026-D43,0.5),0),"")</f>
        <v>7092</v>
      </c>
      <c r="K43" s="35" t="s">
        <v>259</v>
      </c>
      <c r="L43" s="35" t="s">
        <v>256</v>
      </c>
      <c r="M43" s="35" t="s">
        <v>257</v>
      </c>
      <c r="N43" s="33" t="n">
        <v>28</v>
      </c>
      <c r="O43" s="35" t="s">
        <v>258</v>
      </c>
      <c r="P43" s="45" t="n">
        <v>31324</v>
      </c>
      <c r="Q43" s="38" t="n">
        <v>0.053</v>
      </c>
      <c r="R43" s="35" t="s">
        <v>258</v>
      </c>
      <c r="S43" s="45" t="n">
        <v>230</v>
      </c>
      <c r="T43" s="35" t="s">
        <v>259</v>
      </c>
      <c r="U43" s="33" t="n">
        <v>2</v>
      </c>
      <c r="V43" s="35" t="s">
        <v>259</v>
      </c>
      <c r="W43" s="33" t="n">
        <v>11</v>
      </c>
      <c r="X43" s="35" t="s">
        <v>255</v>
      </c>
      <c r="Y43" s="35" t="s">
        <v>255</v>
      </c>
      <c r="Z43" s="35" t="s">
        <v>255</v>
      </c>
      <c r="AA43" s="35" t="s">
        <v>255</v>
      </c>
      <c r="AB43" s="35" t="s">
        <v>255</v>
      </c>
      <c r="AC43" s="35" t="s">
        <v>255</v>
      </c>
      <c r="AD43" s="35" t="s">
        <v>259</v>
      </c>
      <c r="AE43" s="35" t="s">
        <v>259</v>
      </c>
      <c r="AF43" s="35" t="s">
        <v>259</v>
      </c>
      <c r="AG43" s="35" t="s">
        <v>259</v>
      </c>
      <c r="AH43" s="35" t="s">
        <v>259</v>
      </c>
      <c r="AI43" s="35" t="s">
        <v>255</v>
      </c>
      <c r="AJ43" s="35" t="s">
        <v>259</v>
      </c>
      <c r="AK43" s="8" t="s">
        <v>269</v>
      </c>
      <c r="AL43" s="8" t="s">
        <v>261</v>
      </c>
      <c r="AM43" s="8" t="s">
        <v>278</v>
      </c>
      <c r="AN43" s="8" t="s">
        <v>397</v>
      </c>
      <c r="AO43" s="8" t="s">
        <v>398</v>
      </c>
      <c r="AP43" s="35" t="s">
        <v>265</v>
      </c>
      <c r="AQ43" s="39" t="n">
        <v>63.7</v>
      </c>
      <c r="AR43" s="39" t="n">
        <v>4.5</v>
      </c>
      <c r="AS43" s="33" t="n">
        <v>53</v>
      </c>
      <c r="AT43" s="45"/>
      <c r="AU43" s="45" t="n">
        <v>529.85</v>
      </c>
      <c r="AV43" s="45" t="n">
        <v>261</v>
      </c>
      <c r="AW43" s="39" t="n">
        <v>72</v>
      </c>
      <c r="AX43" s="39" t="n">
        <v>85.5</v>
      </c>
      <c r="AY43" s="39" t="n">
        <v>77.4</v>
      </c>
      <c r="AZ43" s="39" t="n">
        <v>52</v>
      </c>
      <c r="BA43" s="39" t="n">
        <v>0</v>
      </c>
      <c r="BB43" s="39" t="n">
        <v>15.1</v>
      </c>
      <c r="BC43" s="8" t="s">
        <v>399</v>
      </c>
      <c r="BD43" s="47" t="s">
        <v>365</v>
      </c>
      <c r="BE43" s="41" t="s">
        <v>400</v>
      </c>
    </row>
    <row r="44" customFormat="false" ht="15" hidden="false" customHeight="false" outlineLevel="0" collapsed="false">
      <c r="A44" s="33" t="n">
        <f aca="false">RANK(B44,$B$5:$B$266)</f>
        <v>40</v>
      </c>
      <c r="B44" s="34" t="n">
        <f aca="false">ROUND((AW44*'Scoring Weights'!$B$5+AX44*'Scoring Weights'!$B$6+AY44*'Scoring Weights'!$B$7+BA44*'Scoring Weights'!$B$8+AZ44*'Scoring Weights'!$B$9+BB44*'Scoring Weights'!$B$10)/MAX('Scoring Weights'!$B$11,1),1)</f>
        <v>59.4</v>
      </c>
      <c r="C44" s="35" t="str">
        <f aca="false">IF(AND(H44&lt;='Search Criteria'!$B$5,D44&gt;='Search Criteria'!$B$6,AQ44&lt;='Search Criteria'!$B$7,I44&lt;=INDEX('Search Criteria'!$B$18:$B$20,MATCH(E44,'Search Criteria'!$A$18:$A$20,0)),OR(NOT('Search Criteria'!$B$8),L44&lt;&gt;"FWD"),OR(NOT('Search Criteria'!$B$9),T44="Yes"),OR(NOT('Search Criteria'!$B$10),W44&gt;0),OR(NOT('Search Criteria'!$B$11),X44="Yes"),OR(NOT('Search Criteria'!$B$12),O44="GREAT",O44="GOOD"),OR(NOT('Search Criteria'!$B$13),K44="Yes")),"YES","no")</f>
        <v>no</v>
      </c>
      <c r="D44" s="33" t="n">
        <v>2024</v>
      </c>
      <c r="E44" s="8" t="s">
        <v>94</v>
      </c>
      <c r="F44" s="8" t="s">
        <v>232</v>
      </c>
      <c r="G44" s="8" t="s">
        <v>301</v>
      </c>
      <c r="H44" s="45" t="n">
        <v>31961</v>
      </c>
      <c r="I44" s="46" t="n">
        <v>35174</v>
      </c>
      <c r="J44" s="37" t="n">
        <f aca="false">IFERROR(ROUND(I44/MAX(2026-D44,0.5),0),"")</f>
        <v>17587</v>
      </c>
      <c r="K44" s="35" t="s">
        <v>259</v>
      </c>
      <c r="L44" s="35" t="s">
        <v>256</v>
      </c>
      <c r="M44" s="35" t="s">
        <v>302</v>
      </c>
      <c r="N44" s="33" t="n">
        <v>37</v>
      </c>
      <c r="O44" s="35" t="s">
        <v>258</v>
      </c>
      <c r="P44" s="45" t="n">
        <v>32477</v>
      </c>
      <c r="Q44" s="38" t="n">
        <v>0.016</v>
      </c>
      <c r="R44" s="35" t="s">
        <v>277</v>
      </c>
      <c r="S44" s="45"/>
      <c r="T44" s="35" t="s">
        <v>259</v>
      </c>
      <c r="U44" s="33" t="n">
        <v>1</v>
      </c>
      <c r="V44" s="35" t="s">
        <v>255</v>
      </c>
      <c r="W44" s="33" t="n">
        <v>9</v>
      </c>
      <c r="X44" s="35" t="s">
        <v>255</v>
      </c>
      <c r="Y44" s="35" t="s">
        <v>255</v>
      </c>
      <c r="Z44" s="35" t="s">
        <v>259</v>
      </c>
      <c r="AA44" s="35" t="s">
        <v>255</v>
      </c>
      <c r="AB44" s="35" t="s">
        <v>255</v>
      </c>
      <c r="AC44" s="35" t="s">
        <v>255</v>
      </c>
      <c r="AD44" s="35" t="s">
        <v>255</v>
      </c>
      <c r="AE44" s="35" t="s">
        <v>255</v>
      </c>
      <c r="AF44" s="35" t="s">
        <v>259</v>
      </c>
      <c r="AG44" s="35" t="s">
        <v>259</v>
      </c>
      <c r="AH44" s="35" t="s">
        <v>259</v>
      </c>
      <c r="AI44" s="35" t="s">
        <v>255</v>
      </c>
      <c r="AJ44" s="35" t="s">
        <v>259</v>
      </c>
      <c r="AK44" s="8" t="s">
        <v>260</v>
      </c>
      <c r="AL44" s="8" t="s">
        <v>261</v>
      </c>
      <c r="AM44" s="8" t="s">
        <v>303</v>
      </c>
      <c r="AN44" s="8" t="s">
        <v>401</v>
      </c>
      <c r="AO44" s="8" t="s">
        <v>280</v>
      </c>
      <c r="AP44" s="35" t="s">
        <v>265</v>
      </c>
      <c r="AQ44" s="39" t="n">
        <v>10.9</v>
      </c>
      <c r="AR44" s="39" t="n">
        <v>4.4</v>
      </c>
      <c r="AS44" s="33" t="n">
        <v>32</v>
      </c>
      <c r="AT44" s="45" t="n">
        <v>1200</v>
      </c>
      <c r="AU44" s="45" t="n">
        <v>570.94</v>
      </c>
      <c r="AV44" s="45" t="n">
        <v>261</v>
      </c>
      <c r="AW44" s="39" t="n">
        <v>85.2</v>
      </c>
      <c r="AX44" s="39" t="n">
        <v>79.9</v>
      </c>
      <c r="AY44" s="39" t="n">
        <v>35.9</v>
      </c>
      <c r="AZ44" s="39" t="n">
        <v>64</v>
      </c>
      <c r="BA44" s="39" t="n">
        <v>0</v>
      </c>
      <c r="BB44" s="39" t="n">
        <v>85.5</v>
      </c>
      <c r="BC44" s="8" t="s">
        <v>402</v>
      </c>
      <c r="BD44" s="47" t="s">
        <v>307</v>
      </c>
      <c r="BE44" s="41" t="s">
        <v>403</v>
      </c>
    </row>
    <row r="45" customFormat="false" ht="15" hidden="false" customHeight="false" outlineLevel="0" collapsed="false">
      <c r="A45" s="33" t="n">
        <f aca="false">RANK(B45,$B$5:$B$266)</f>
        <v>40</v>
      </c>
      <c r="B45" s="34" t="n">
        <f aca="false">ROUND((AW45*'Scoring Weights'!$B$5+AX45*'Scoring Weights'!$B$6+AY45*'Scoring Weights'!$B$7+BA45*'Scoring Weights'!$B$8+AZ45*'Scoring Weights'!$B$9+BB45*'Scoring Weights'!$B$10)/MAX('Scoring Weights'!$B$11,1),1)</f>
        <v>59.4</v>
      </c>
      <c r="C45" s="35" t="str">
        <f aca="false">IF(AND(H45&lt;='Search Criteria'!$B$5,D45&gt;='Search Criteria'!$B$6,AQ45&lt;='Search Criteria'!$B$7,I45&lt;=INDEX('Search Criteria'!$B$18:$B$20,MATCH(E45,'Search Criteria'!$A$18:$A$20,0)),OR(NOT('Search Criteria'!$B$8),L45&lt;&gt;"FWD"),OR(NOT('Search Criteria'!$B$9),T45="Yes"),OR(NOT('Search Criteria'!$B$10),W45&gt;0),OR(NOT('Search Criteria'!$B$11),X45="Yes"),OR(NOT('Search Criteria'!$B$12),O45="GREAT",O45="GOOD"),OR(NOT('Search Criteria'!$B$13),K45="Yes")),"YES","no")</f>
        <v>YES</v>
      </c>
      <c r="D45" s="33" t="n">
        <v>2025</v>
      </c>
      <c r="E45" s="8" t="s">
        <v>95</v>
      </c>
      <c r="F45" s="8" t="s">
        <v>234</v>
      </c>
      <c r="G45" s="8" t="s">
        <v>325</v>
      </c>
      <c r="H45" s="45" t="n">
        <v>28149</v>
      </c>
      <c r="I45" s="46" t="n">
        <v>33731</v>
      </c>
      <c r="J45" s="37" t="n">
        <f aca="false">IFERROR(ROUND(I45/MAX(2026-D45,0.5),0),"")</f>
        <v>33731</v>
      </c>
      <c r="K45" s="35" t="s">
        <v>259</v>
      </c>
      <c r="L45" s="35" t="s">
        <v>256</v>
      </c>
      <c r="M45" s="35" t="s">
        <v>257</v>
      </c>
      <c r="N45" s="33" t="n">
        <v>28</v>
      </c>
      <c r="O45" s="35" t="s">
        <v>286</v>
      </c>
      <c r="P45" s="45" t="n">
        <v>30826</v>
      </c>
      <c r="Q45" s="38" t="n">
        <v>0.087</v>
      </c>
      <c r="R45" s="35" t="s">
        <v>258</v>
      </c>
      <c r="S45" s="45" t="n">
        <v>340</v>
      </c>
      <c r="T45" s="35" t="s">
        <v>255</v>
      </c>
      <c r="U45" s="33" t="n">
        <v>1</v>
      </c>
      <c r="V45" s="35" t="s">
        <v>259</v>
      </c>
      <c r="W45" s="33" t="n">
        <v>4</v>
      </c>
      <c r="X45" s="35" t="s">
        <v>255</v>
      </c>
      <c r="Y45" s="35" t="s">
        <v>255</v>
      </c>
      <c r="Z45" s="35" t="s">
        <v>255</v>
      </c>
      <c r="AA45" s="35" t="s">
        <v>255</v>
      </c>
      <c r="AB45" s="35" t="s">
        <v>255</v>
      </c>
      <c r="AC45" s="35" t="s">
        <v>255</v>
      </c>
      <c r="AD45" s="35" t="s">
        <v>255</v>
      </c>
      <c r="AE45" s="35" t="s">
        <v>259</v>
      </c>
      <c r="AF45" s="35" t="s">
        <v>259</v>
      </c>
      <c r="AG45" s="35" t="s">
        <v>259</v>
      </c>
      <c r="AH45" s="35" t="s">
        <v>255</v>
      </c>
      <c r="AI45" s="35" t="s">
        <v>255</v>
      </c>
      <c r="AJ45" s="35" t="s">
        <v>255</v>
      </c>
      <c r="AK45" s="8" t="s">
        <v>269</v>
      </c>
      <c r="AL45" s="8" t="s">
        <v>260</v>
      </c>
      <c r="AM45" s="8" t="s">
        <v>278</v>
      </c>
      <c r="AN45" s="8" t="s">
        <v>263</v>
      </c>
      <c r="AO45" s="8" t="s">
        <v>264</v>
      </c>
      <c r="AP45" s="35" t="s">
        <v>265</v>
      </c>
      <c r="AQ45" s="39" t="n">
        <v>0.4</v>
      </c>
      <c r="AR45" s="39" t="n">
        <v>4.6</v>
      </c>
      <c r="AS45" s="33" t="n">
        <v>46</v>
      </c>
      <c r="AT45" s="45" t="n">
        <v>4107</v>
      </c>
      <c r="AU45" s="45" t="n">
        <v>502.84</v>
      </c>
      <c r="AV45" s="45" t="n">
        <v>261</v>
      </c>
      <c r="AW45" s="39" t="n">
        <v>87.2</v>
      </c>
      <c r="AX45" s="39" t="n">
        <v>78.4</v>
      </c>
      <c r="AY45" s="39" t="n">
        <v>22.8</v>
      </c>
      <c r="AZ45" s="39" t="n">
        <v>74</v>
      </c>
      <c r="BA45" s="39" t="n">
        <v>0</v>
      </c>
      <c r="BB45" s="39" t="n">
        <v>99.4</v>
      </c>
      <c r="BC45" s="8" t="s">
        <v>404</v>
      </c>
      <c r="BD45" s="47" t="s">
        <v>282</v>
      </c>
      <c r="BE45" s="41" t="s">
        <v>164</v>
      </c>
    </row>
    <row r="46" customFormat="false" ht="15" hidden="false" customHeight="false" outlineLevel="0" collapsed="false">
      <c r="A46" s="33" t="n">
        <f aca="false">RANK(B46,$B$5:$B$266)</f>
        <v>42</v>
      </c>
      <c r="B46" s="34" t="n">
        <f aca="false">ROUND((AW46*'Scoring Weights'!$B$5+AX46*'Scoring Weights'!$B$6+AY46*'Scoring Weights'!$B$7+BA46*'Scoring Weights'!$B$8+AZ46*'Scoring Weights'!$B$9+BB46*'Scoring Weights'!$B$10)/MAX('Scoring Weights'!$B$11,1),1)</f>
        <v>59.2</v>
      </c>
      <c r="C46" s="35" t="str">
        <f aca="false">IF(AND(H46&lt;='Search Criteria'!$B$5,D46&gt;='Search Criteria'!$B$6,AQ46&lt;='Search Criteria'!$B$7,I46&lt;=INDEX('Search Criteria'!$B$18:$B$20,MATCH(E46,'Search Criteria'!$A$18:$A$20,0)),OR(NOT('Search Criteria'!$B$8),L46&lt;&gt;"FWD"),OR(NOT('Search Criteria'!$B$9),T46="Yes"),OR(NOT('Search Criteria'!$B$10),W46&gt;0),OR(NOT('Search Criteria'!$B$11),X46="Yes"),OR(NOT('Search Criteria'!$B$12),O46="GREAT",O46="GOOD"),OR(NOT('Search Criteria'!$B$13),K46="Yes")),"YES","no")</f>
        <v>YES</v>
      </c>
      <c r="D46" s="33" t="n">
        <v>2025</v>
      </c>
      <c r="E46" s="8" t="s">
        <v>92</v>
      </c>
      <c r="F46" s="8" t="s">
        <v>236</v>
      </c>
      <c r="G46" s="8" t="s">
        <v>284</v>
      </c>
      <c r="H46" s="45" t="n">
        <v>39185</v>
      </c>
      <c r="I46" s="46" t="n">
        <v>15206</v>
      </c>
      <c r="J46" s="37" t="n">
        <f aca="false">IFERROR(ROUND(I46/MAX(2026-D46,0.5),0),"")</f>
        <v>15206</v>
      </c>
      <c r="K46" s="35" t="s">
        <v>259</v>
      </c>
      <c r="L46" s="35" t="s">
        <v>256</v>
      </c>
      <c r="M46" s="35" t="s">
        <v>257</v>
      </c>
      <c r="N46" s="33" t="n">
        <v>28</v>
      </c>
      <c r="O46" s="35" t="s">
        <v>286</v>
      </c>
      <c r="P46" s="45" t="n">
        <v>35958</v>
      </c>
      <c r="Q46" s="38" t="n">
        <v>-0.09</v>
      </c>
      <c r="R46" s="35" t="s">
        <v>258</v>
      </c>
      <c r="S46" s="45" t="n">
        <v>320</v>
      </c>
      <c r="T46" s="35" t="s">
        <v>255</v>
      </c>
      <c r="U46" s="33" t="n">
        <v>1</v>
      </c>
      <c r="V46" s="35" t="s">
        <v>255</v>
      </c>
      <c r="W46" s="33" t="n">
        <v>5</v>
      </c>
      <c r="X46" s="35" t="s">
        <v>255</v>
      </c>
      <c r="Y46" s="35" t="s">
        <v>255</v>
      </c>
      <c r="Z46" s="35" t="s">
        <v>255</v>
      </c>
      <c r="AA46" s="35" t="s">
        <v>255</v>
      </c>
      <c r="AB46" s="35" t="s">
        <v>255</v>
      </c>
      <c r="AC46" s="35" t="s">
        <v>255</v>
      </c>
      <c r="AD46" s="35" t="s">
        <v>255</v>
      </c>
      <c r="AE46" s="35" t="s">
        <v>255</v>
      </c>
      <c r="AF46" s="35" t="s">
        <v>259</v>
      </c>
      <c r="AG46" s="35" t="s">
        <v>259</v>
      </c>
      <c r="AH46" s="35" t="s">
        <v>259</v>
      </c>
      <c r="AI46" s="35" t="s">
        <v>255</v>
      </c>
      <c r="AJ46" s="35" t="s">
        <v>259</v>
      </c>
      <c r="AK46" s="8" t="s">
        <v>358</v>
      </c>
      <c r="AL46" s="8" t="s">
        <v>260</v>
      </c>
      <c r="AM46" s="8" t="s">
        <v>278</v>
      </c>
      <c r="AN46" s="8" t="s">
        <v>405</v>
      </c>
      <c r="AO46" s="8" t="s">
        <v>340</v>
      </c>
      <c r="AP46" s="35" t="s">
        <v>265</v>
      </c>
      <c r="AQ46" s="39" t="n">
        <v>59.9</v>
      </c>
      <c r="AR46" s="39" t="n">
        <v>4.7</v>
      </c>
      <c r="AS46" s="33" t="n">
        <v>47</v>
      </c>
      <c r="AT46" s="45"/>
      <c r="AU46" s="45" t="n">
        <v>699.98</v>
      </c>
      <c r="AV46" s="45" t="n">
        <v>549</v>
      </c>
      <c r="AW46" s="39" t="n">
        <v>94</v>
      </c>
      <c r="AX46" s="39" t="n">
        <v>51.9</v>
      </c>
      <c r="AY46" s="39" t="n">
        <v>66.3</v>
      </c>
      <c r="AZ46" s="39" t="n">
        <v>74</v>
      </c>
      <c r="BA46" s="39" t="n">
        <v>0</v>
      </c>
      <c r="BB46" s="39" t="n">
        <v>20.2</v>
      </c>
      <c r="BC46" s="8" t="s">
        <v>406</v>
      </c>
      <c r="BD46" s="47" t="s">
        <v>290</v>
      </c>
      <c r="BE46" s="41" t="s">
        <v>166</v>
      </c>
    </row>
    <row r="47" customFormat="false" ht="15" hidden="false" customHeight="false" outlineLevel="0" collapsed="false">
      <c r="A47" s="33" t="n">
        <f aca="false">RANK(B47,$B$5:$B$266)</f>
        <v>43</v>
      </c>
      <c r="B47" s="34" t="n">
        <f aca="false">ROUND((AW47*'Scoring Weights'!$B$5+AX47*'Scoring Weights'!$B$6+AY47*'Scoring Weights'!$B$7+BA47*'Scoring Weights'!$B$8+AZ47*'Scoring Weights'!$B$9+BB47*'Scoring Weights'!$B$10)/MAX('Scoring Weights'!$B$11,1),1)</f>
        <v>59.1</v>
      </c>
      <c r="C47" s="35" t="str">
        <f aca="false">IF(AND(H47&lt;='Search Criteria'!$B$5,D47&gt;='Search Criteria'!$B$6,AQ47&lt;='Search Criteria'!$B$7,I47&lt;=INDEX('Search Criteria'!$B$18:$B$20,MATCH(E47,'Search Criteria'!$A$18:$A$20,0)),OR(NOT('Search Criteria'!$B$8),L47&lt;&gt;"FWD"),OR(NOT('Search Criteria'!$B$9),T47="Yes"),OR(NOT('Search Criteria'!$B$10),W47&gt;0),OR(NOT('Search Criteria'!$B$11),X47="Yes"),OR(NOT('Search Criteria'!$B$12),O47="GREAT",O47="GOOD"),OR(NOT('Search Criteria'!$B$13),K47="Yes")),"YES","no")</f>
        <v>no</v>
      </c>
      <c r="D47" s="33" t="n">
        <v>2026</v>
      </c>
      <c r="E47" s="8" t="s">
        <v>95</v>
      </c>
      <c r="F47" s="8" t="s">
        <v>234</v>
      </c>
      <c r="G47" s="8" t="s">
        <v>407</v>
      </c>
      <c r="H47" s="45" t="n">
        <v>35268</v>
      </c>
      <c r="I47" s="46" t="n">
        <v>2629</v>
      </c>
      <c r="J47" s="37" t="n">
        <f aca="false">IFERROR(ROUND(I47/MAX(2026-D47,0.5),0),"")</f>
        <v>5258</v>
      </c>
      <c r="K47" s="35" t="s">
        <v>259</v>
      </c>
      <c r="L47" s="35" t="s">
        <v>256</v>
      </c>
      <c r="M47" s="35" t="s">
        <v>257</v>
      </c>
      <c r="N47" s="33" t="n">
        <v>27</v>
      </c>
      <c r="O47" s="35" t="s">
        <v>276</v>
      </c>
      <c r="P47" s="45" t="n">
        <v>35793</v>
      </c>
      <c r="Q47" s="38" t="n">
        <v>0.015</v>
      </c>
      <c r="R47" s="35" t="s">
        <v>277</v>
      </c>
      <c r="S47" s="45"/>
      <c r="T47" s="35" t="s">
        <v>255</v>
      </c>
      <c r="U47" s="33"/>
      <c r="V47" s="35" t="s">
        <v>259</v>
      </c>
      <c r="W47" s="33" t="n">
        <v>1</v>
      </c>
      <c r="X47" s="35" t="s">
        <v>255</v>
      </c>
      <c r="Y47" s="35" t="s">
        <v>255</v>
      </c>
      <c r="Z47" s="35" t="s">
        <v>255</v>
      </c>
      <c r="AA47" s="35" t="s">
        <v>255</v>
      </c>
      <c r="AB47" s="35" t="s">
        <v>255</v>
      </c>
      <c r="AC47" s="35" t="s">
        <v>255</v>
      </c>
      <c r="AD47" s="35" t="s">
        <v>255</v>
      </c>
      <c r="AE47" s="35" t="s">
        <v>259</v>
      </c>
      <c r="AF47" s="35" t="s">
        <v>255</v>
      </c>
      <c r="AG47" s="35" t="s">
        <v>255</v>
      </c>
      <c r="AH47" s="35" t="s">
        <v>255</v>
      </c>
      <c r="AI47" s="35" t="s">
        <v>255</v>
      </c>
      <c r="AJ47" s="35" t="s">
        <v>259</v>
      </c>
      <c r="AK47" s="8" t="s">
        <v>260</v>
      </c>
      <c r="AL47" s="8" t="s">
        <v>261</v>
      </c>
      <c r="AM47" s="8" t="s">
        <v>278</v>
      </c>
      <c r="AN47" s="8" t="s">
        <v>384</v>
      </c>
      <c r="AO47" s="8" t="s">
        <v>340</v>
      </c>
      <c r="AP47" s="35" t="s">
        <v>265</v>
      </c>
      <c r="AQ47" s="39" t="n">
        <v>59.8</v>
      </c>
      <c r="AR47" s="39" t="n">
        <v>4.8</v>
      </c>
      <c r="AS47" s="33" t="n">
        <v>3</v>
      </c>
      <c r="AT47" s="45"/>
      <c r="AU47" s="45" t="n">
        <v>630.01</v>
      </c>
      <c r="AV47" s="45" t="n">
        <v>268</v>
      </c>
      <c r="AW47" s="39" t="n">
        <v>60.5</v>
      </c>
      <c r="AX47" s="39" t="n">
        <v>58.8</v>
      </c>
      <c r="AY47" s="39" t="n">
        <v>96.3</v>
      </c>
      <c r="AZ47" s="39" t="n">
        <v>86</v>
      </c>
      <c r="BA47" s="39" t="n">
        <v>0</v>
      </c>
      <c r="BB47" s="39" t="n">
        <v>20.3</v>
      </c>
      <c r="BC47" s="8" t="s">
        <v>408</v>
      </c>
      <c r="BD47" s="47" t="s">
        <v>409</v>
      </c>
      <c r="BE47" s="41" t="s">
        <v>410</v>
      </c>
    </row>
    <row r="48" customFormat="false" ht="15" hidden="false" customHeight="false" outlineLevel="0" collapsed="false">
      <c r="A48" s="33" t="n">
        <f aca="false">RANK(B48,$B$5:$B$266)</f>
        <v>44</v>
      </c>
      <c r="B48" s="34" t="n">
        <f aca="false">ROUND((AW48*'Scoring Weights'!$B$5+AX48*'Scoring Weights'!$B$6+AY48*'Scoring Weights'!$B$7+BA48*'Scoring Weights'!$B$8+AZ48*'Scoring Weights'!$B$9+BB48*'Scoring Weights'!$B$10)/MAX('Scoring Weights'!$B$11,1),1)</f>
        <v>59</v>
      </c>
      <c r="C48" s="35" t="str">
        <f aca="false">IF(AND(H48&lt;='Search Criteria'!$B$5,D48&gt;='Search Criteria'!$B$6,AQ48&lt;='Search Criteria'!$B$7,I48&lt;=INDEX('Search Criteria'!$B$18:$B$20,MATCH(E48,'Search Criteria'!$A$18:$A$20,0)),OR(NOT('Search Criteria'!$B$8),L48&lt;&gt;"FWD"),OR(NOT('Search Criteria'!$B$9),T48="Yes"),OR(NOT('Search Criteria'!$B$10),W48&gt;0),OR(NOT('Search Criteria'!$B$11),X48="Yes"),OR(NOT('Search Criteria'!$B$12),O48="GREAT",O48="GOOD"),OR(NOT('Search Criteria'!$B$13),K48="Yes")),"YES","no")</f>
        <v>YES</v>
      </c>
      <c r="D48" s="33" t="n">
        <v>2024</v>
      </c>
      <c r="E48" s="8" t="s">
        <v>94</v>
      </c>
      <c r="F48" s="8" t="s">
        <v>232</v>
      </c>
      <c r="G48" s="8" t="s">
        <v>301</v>
      </c>
      <c r="H48" s="45" t="n">
        <v>33249</v>
      </c>
      <c r="I48" s="46" t="n">
        <v>31775</v>
      </c>
      <c r="J48" s="37" t="n">
        <f aca="false">IFERROR(ROUND(I48/MAX(2026-D48,0.5),0),"")</f>
        <v>15888</v>
      </c>
      <c r="K48" s="35" t="s">
        <v>259</v>
      </c>
      <c r="L48" s="35" t="s">
        <v>256</v>
      </c>
      <c r="M48" s="35" t="s">
        <v>302</v>
      </c>
      <c r="N48" s="33" t="n">
        <v>37</v>
      </c>
      <c r="O48" s="35" t="s">
        <v>258</v>
      </c>
      <c r="P48" s="45" t="n">
        <v>32711</v>
      </c>
      <c r="Q48" s="38" t="n">
        <v>-0.016</v>
      </c>
      <c r="R48" s="35" t="s">
        <v>277</v>
      </c>
      <c r="S48" s="45"/>
      <c r="T48" s="35" t="s">
        <v>255</v>
      </c>
      <c r="U48" s="33" t="n">
        <v>2</v>
      </c>
      <c r="V48" s="35" t="s">
        <v>255</v>
      </c>
      <c r="W48" s="33" t="n">
        <v>8</v>
      </c>
      <c r="X48" s="35" t="s">
        <v>255</v>
      </c>
      <c r="Y48" s="35" t="s">
        <v>255</v>
      </c>
      <c r="Z48" s="35" t="s">
        <v>259</v>
      </c>
      <c r="AA48" s="35" t="s">
        <v>255</v>
      </c>
      <c r="AB48" s="35" t="s">
        <v>255</v>
      </c>
      <c r="AC48" s="35" t="s">
        <v>259</v>
      </c>
      <c r="AD48" s="35" t="s">
        <v>255</v>
      </c>
      <c r="AE48" s="35" t="s">
        <v>255</v>
      </c>
      <c r="AF48" s="35" t="s">
        <v>259</v>
      </c>
      <c r="AG48" s="35" t="s">
        <v>259</v>
      </c>
      <c r="AH48" s="35" t="s">
        <v>259</v>
      </c>
      <c r="AI48" s="35" t="s">
        <v>255</v>
      </c>
      <c r="AJ48" s="35" t="s">
        <v>259</v>
      </c>
      <c r="AK48" s="8" t="s">
        <v>292</v>
      </c>
      <c r="AL48" s="8" t="s">
        <v>261</v>
      </c>
      <c r="AM48" s="8" t="s">
        <v>303</v>
      </c>
      <c r="AN48" s="8" t="s">
        <v>349</v>
      </c>
      <c r="AO48" s="8" t="s">
        <v>280</v>
      </c>
      <c r="AP48" s="35" t="s">
        <v>265</v>
      </c>
      <c r="AQ48" s="39" t="n">
        <v>10.7</v>
      </c>
      <c r="AR48" s="39" t="n">
        <v>4.6</v>
      </c>
      <c r="AS48" s="33" t="n">
        <v>13</v>
      </c>
      <c r="AT48" s="45" t="n">
        <v>-1250</v>
      </c>
      <c r="AU48" s="45" t="n">
        <v>593.95</v>
      </c>
      <c r="AV48" s="45" t="n">
        <v>250</v>
      </c>
      <c r="AW48" s="39" t="n">
        <v>88.8</v>
      </c>
      <c r="AX48" s="39" t="n">
        <v>75</v>
      </c>
      <c r="AY48" s="39" t="n">
        <v>43.5</v>
      </c>
      <c r="AZ48" s="39" t="n">
        <v>52</v>
      </c>
      <c r="BA48" s="39" t="n">
        <v>0</v>
      </c>
      <c r="BB48" s="39" t="n">
        <v>85.7</v>
      </c>
      <c r="BC48" s="8" t="s">
        <v>411</v>
      </c>
      <c r="BD48" s="47" t="s">
        <v>307</v>
      </c>
      <c r="BE48" s="41" t="s">
        <v>167</v>
      </c>
    </row>
    <row r="49" customFormat="false" ht="15" hidden="false" customHeight="false" outlineLevel="0" collapsed="false">
      <c r="A49" s="33" t="n">
        <f aca="false">RANK(B49,$B$5:$B$266)</f>
        <v>45</v>
      </c>
      <c r="B49" s="34" t="n">
        <f aca="false">ROUND((AW49*'Scoring Weights'!$B$5+AX49*'Scoring Weights'!$B$6+AY49*'Scoring Weights'!$B$7+BA49*'Scoring Weights'!$B$8+AZ49*'Scoring Weights'!$B$9+BB49*'Scoring Weights'!$B$10)/MAX('Scoring Weights'!$B$11,1),1)</f>
        <v>58.9</v>
      </c>
      <c r="C49" s="35" t="str">
        <f aca="false">IF(AND(H49&lt;='Search Criteria'!$B$5,D49&gt;='Search Criteria'!$B$6,AQ49&lt;='Search Criteria'!$B$7,I49&lt;=INDEX('Search Criteria'!$B$18:$B$20,MATCH(E49,'Search Criteria'!$A$18:$A$20,0)),OR(NOT('Search Criteria'!$B$8),L49&lt;&gt;"FWD"),OR(NOT('Search Criteria'!$B$9),T49="Yes"),OR(NOT('Search Criteria'!$B$10),W49&gt;0),OR(NOT('Search Criteria'!$B$11),X49="Yes"),OR(NOT('Search Criteria'!$B$12),O49="GREAT",O49="GOOD"),OR(NOT('Search Criteria'!$B$13),K49="Yes")),"YES","no")</f>
        <v>no</v>
      </c>
      <c r="D49" s="33" t="n">
        <v>2025</v>
      </c>
      <c r="E49" s="8" t="s">
        <v>92</v>
      </c>
      <c r="F49" s="8" t="s">
        <v>236</v>
      </c>
      <c r="G49" s="8" t="s">
        <v>338</v>
      </c>
      <c r="H49" s="45" t="n">
        <v>32175</v>
      </c>
      <c r="I49" s="46" t="n">
        <v>44009</v>
      </c>
      <c r="J49" s="37" t="n">
        <f aca="false">IFERROR(ROUND(I49/MAX(2026-D49,0.5),0),"")</f>
        <v>44009</v>
      </c>
      <c r="K49" s="35" t="s">
        <v>255</v>
      </c>
      <c r="L49" s="35" t="s">
        <v>256</v>
      </c>
      <c r="M49" s="35" t="s">
        <v>302</v>
      </c>
      <c r="N49" s="33" t="n">
        <v>39</v>
      </c>
      <c r="O49" s="35" t="s">
        <v>258</v>
      </c>
      <c r="P49" s="45" t="n">
        <v>33658</v>
      </c>
      <c r="Q49" s="38" t="n">
        <v>0.044</v>
      </c>
      <c r="R49" s="35" t="s">
        <v>286</v>
      </c>
      <c r="S49" s="45" t="n">
        <v>510</v>
      </c>
      <c r="T49" s="35" t="s">
        <v>255</v>
      </c>
      <c r="U49" s="33" t="n">
        <v>1</v>
      </c>
      <c r="V49" s="35" t="s">
        <v>259</v>
      </c>
      <c r="W49" s="33" t="n">
        <v>2</v>
      </c>
      <c r="X49" s="35" t="s">
        <v>259</v>
      </c>
      <c r="Y49" s="35" t="s">
        <v>255</v>
      </c>
      <c r="Z49" s="35" t="s">
        <v>259</v>
      </c>
      <c r="AA49" s="35" t="s">
        <v>259</v>
      </c>
      <c r="AB49" s="35" t="s">
        <v>259</v>
      </c>
      <c r="AC49" s="35" t="s">
        <v>259</v>
      </c>
      <c r="AD49" s="35" t="s">
        <v>259</v>
      </c>
      <c r="AE49" s="35" t="s">
        <v>259</v>
      </c>
      <c r="AF49" s="35" t="s">
        <v>259</v>
      </c>
      <c r="AG49" s="35" t="s">
        <v>259</v>
      </c>
      <c r="AH49" s="35" t="s">
        <v>259</v>
      </c>
      <c r="AI49" s="35" t="s">
        <v>259</v>
      </c>
      <c r="AJ49" s="35" t="s">
        <v>259</v>
      </c>
      <c r="AK49" s="8" t="s">
        <v>292</v>
      </c>
      <c r="AL49" s="8" t="s">
        <v>261</v>
      </c>
      <c r="AM49" s="8" t="s">
        <v>278</v>
      </c>
      <c r="AN49" s="8" t="s">
        <v>335</v>
      </c>
      <c r="AO49" s="8" t="s">
        <v>321</v>
      </c>
      <c r="AP49" s="35" t="s">
        <v>272</v>
      </c>
      <c r="AQ49" s="39" t="n">
        <v>56.8</v>
      </c>
      <c r="AR49" s="39" t="n">
        <v>4.6</v>
      </c>
      <c r="AS49" s="33" t="n">
        <v>100</v>
      </c>
      <c r="AT49" s="45" t="n">
        <v>2278</v>
      </c>
      <c r="AU49" s="45" t="n">
        <v>574.76</v>
      </c>
      <c r="AV49" s="45" t="n">
        <v>345</v>
      </c>
      <c r="AW49" s="39" t="n">
        <v>65.7</v>
      </c>
      <c r="AX49" s="39" t="n">
        <v>84.1</v>
      </c>
      <c r="AY49" s="39" t="n">
        <v>39.2</v>
      </c>
      <c r="AZ49" s="39" t="n">
        <v>0</v>
      </c>
      <c r="BA49" s="39" t="n">
        <v>100</v>
      </c>
      <c r="BB49" s="39" t="n">
        <v>24.2</v>
      </c>
      <c r="BC49" s="8" t="s">
        <v>412</v>
      </c>
      <c r="BD49" s="47" t="s">
        <v>290</v>
      </c>
      <c r="BE49" s="41" t="s">
        <v>413</v>
      </c>
    </row>
    <row r="50" customFormat="false" ht="15" hidden="false" customHeight="false" outlineLevel="0" collapsed="false">
      <c r="A50" s="33" t="n">
        <f aca="false">RANK(B50,$B$5:$B$266)</f>
        <v>46</v>
      </c>
      <c r="B50" s="34" t="n">
        <f aca="false">ROUND((AW50*'Scoring Weights'!$B$5+AX50*'Scoring Weights'!$B$6+AY50*'Scoring Weights'!$B$7+BA50*'Scoring Weights'!$B$8+AZ50*'Scoring Weights'!$B$9+BB50*'Scoring Weights'!$B$10)/MAX('Scoring Weights'!$B$11,1),1)</f>
        <v>58.6</v>
      </c>
      <c r="C50" s="35" t="str">
        <f aca="false">IF(AND(H50&lt;='Search Criteria'!$B$5,D50&gt;='Search Criteria'!$B$6,AQ50&lt;='Search Criteria'!$B$7,I50&lt;=INDEX('Search Criteria'!$B$18:$B$20,MATCH(E50,'Search Criteria'!$A$18:$A$20,0)),OR(NOT('Search Criteria'!$B$8),L50&lt;&gt;"FWD"),OR(NOT('Search Criteria'!$B$9),T50="Yes"),OR(NOT('Search Criteria'!$B$10),W50&gt;0),OR(NOT('Search Criteria'!$B$11),X50="Yes"),OR(NOT('Search Criteria'!$B$12),O50="GREAT",O50="GOOD"),OR(NOT('Search Criteria'!$B$13),K50="Yes")),"YES","no")</f>
        <v>YES</v>
      </c>
      <c r="D50" s="33" t="n">
        <v>2025</v>
      </c>
      <c r="E50" s="8" t="s">
        <v>94</v>
      </c>
      <c r="F50" s="8" t="s">
        <v>232</v>
      </c>
      <c r="G50" s="8" t="s">
        <v>332</v>
      </c>
      <c r="H50" s="45" t="n">
        <v>36597</v>
      </c>
      <c r="I50" s="46" t="n">
        <v>16535</v>
      </c>
      <c r="J50" s="37" t="n">
        <f aca="false">IFERROR(ROUND(I50/MAX(2026-D50,0.5),0),"")</f>
        <v>16535</v>
      </c>
      <c r="K50" s="35" t="s">
        <v>259</v>
      </c>
      <c r="L50" s="35" t="s">
        <v>256</v>
      </c>
      <c r="M50" s="35" t="s">
        <v>302</v>
      </c>
      <c r="N50" s="33" t="n">
        <v>37</v>
      </c>
      <c r="O50" s="35" t="s">
        <v>286</v>
      </c>
      <c r="P50" s="45" t="n">
        <v>34902</v>
      </c>
      <c r="Q50" s="38" t="n">
        <v>-0.049</v>
      </c>
      <c r="R50" s="35" t="s">
        <v>258</v>
      </c>
      <c r="S50" s="45" t="n">
        <v>610</v>
      </c>
      <c r="T50" s="35" t="s">
        <v>255</v>
      </c>
      <c r="U50" s="33" t="n">
        <v>2</v>
      </c>
      <c r="V50" s="35" t="s">
        <v>259</v>
      </c>
      <c r="W50" s="33" t="n">
        <v>5</v>
      </c>
      <c r="X50" s="35" t="s">
        <v>255</v>
      </c>
      <c r="Y50" s="35" t="s">
        <v>255</v>
      </c>
      <c r="Z50" s="35" t="s">
        <v>259</v>
      </c>
      <c r="AA50" s="35" t="s">
        <v>255</v>
      </c>
      <c r="AB50" s="35" t="s">
        <v>255</v>
      </c>
      <c r="AC50" s="35" t="s">
        <v>255</v>
      </c>
      <c r="AD50" s="35" t="s">
        <v>255</v>
      </c>
      <c r="AE50" s="35" t="s">
        <v>255</v>
      </c>
      <c r="AF50" s="35" t="s">
        <v>259</v>
      </c>
      <c r="AG50" s="35" t="s">
        <v>255</v>
      </c>
      <c r="AH50" s="35" t="s">
        <v>255</v>
      </c>
      <c r="AI50" s="35" t="s">
        <v>255</v>
      </c>
      <c r="AJ50" s="35" t="s">
        <v>259</v>
      </c>
      <c r="AK50" s="8" t="s">
        <v>292</v>
      </c>
      <c r="AL50" s="8" t="s">
        <v>261</v>
      </c>
      <c r="AM50" s="8" t="s">
        <v>303</v>
      </c>
      <c r="AN50" s="8" t="s">
        <v>263</v>
      </c>
      <c r="AO50" s="8" t="s">
        <v>264</v>
      </c>
      <c r="AP50" s="35" t="s">
        <v>265</v>
      </c>
      <c r="AQ50" s="39" t="n">
        <v>0.4</v>
      </c>
      <c r="AR50" s="39" t="n">
        <v>4.6</v>
      </c>
      <c r="AS50" s="33" t="n">
        <v>19</v>
      </c>
      <c r="AT50" s="45" t="n">
        <v>-63</v>
      </c>
      <c r="AU50" s="45" t="n">
        <v>653.75</v>
      </c>
      <c r="AV50" s="45" t="n">
        <v>261</v>
      </c>
      <c r="AW50" s="39" t="n">
        <v>75.4</v>
      </c>
      <c r="AX50" s="39" t="n">
        <v>58.1</v>
      </c>
      <c r="AY50" s="39" t="n">
        <v>57.1</v>
      </c>
      <c r="AZ50" s="39" t="n">
        <v>78</v>
      </c>
      <c r="BA50" s="39" t="n">
        <v>0</v>
      </c>
      <c r="BB50" s="39" t="n">
        <v>99.4</v>
      </c>
      <c r="BC50" s="8" t="s">
        <v>414</v>
      </c>
      <c r="BD50" s="47" t="s">
        <v>274</v>
      </c>
      <c r="BE50" s="41" t="s">
        <v>168</v>
      </c>
    </row>
    <row r="51" customFormat="false" ht="15" hidden="false" customHeight="false" outlineLevel="0" collapsed="false">
      <c r="A51" s="33" t="n">
        <f aca="false">RANK(B51,$B$5:$B$266)</f>
        <v>47</v>
      </c>
      <c r="B51" s="34" t="n">
        <f aca="false">ROUND((AW51*'Scoring Weights'!$B$5+AX51*'Scoring Weights'!$B$6+AY51*'Scoring Weights'!$B$7+BA51*'Scoring Weights'!$B$8+AZ51*'Scoring Weights'!$B$9+BB51*'Scoring Weights'!$B$10)/MAX('Scoring Weights'!$B$11,1),1)</f>
        <v>58.3</v>
      </c>
      <c r="C51" s="35" t="str">
        <f aca="false">IF(AND(H51&lt;='Search Criteria'!$B$5,D51&gt;='Search Criteria'!$B$6,AQ51&lt;='Search Criteria'!$B$7,I51&lt;=INDEX('Search Criteria'!$B$18:$B$20,MATCH(E51,'Search Criteria'!$A$18:$A$20,0)),OR(NOT('Search Criteria'!$B$8),L51&lt;&gt;"FWD"),OR(NOT('Search Criteria'!$B$9),T51="Yes"),OR(NOT('Search Criteria'!$B$10),W51&gt;0),OR(NOT('Search Criteria'!$B$11),X51="Yes"),OR(NOT('Search Criteria'!$B$12),O51="GREAT",O51="GOOD"),OR(NOT('Search Criteria'!$B$13),K51="Yes")),"YES","no")</f>
        <v>no</v>
      </c>
      <c r="D51" s="33" t="n">
        <v>2025</v>
      </c>
      <c r="E51" s="8" t="s">
        <v>92</v>
      </c>
      <c r="F51" s="8" t="s">
        <v>236</v>
      </c>
      <c r="G51" s="8" t="s">
        <v>296</v>
      </c>
      <c r="H51" s="45" t="n">
        <v>36958</v>
      </c>
      <c r="I51" s="46" t="n">
        <v>13677</v>
      </c>
      <c r="J51" s="37" t="n">
        <f aca="false">IFERROR(ROUND(I51/MAX(2026-D51,0.5),0),"")</f>
        <v>13677</v>
      </c>
      <c r="K51" s="35" t="s">
        <v>259</v>
      </c>
      <c r="L51" s="35" t="s">
        <v>256</v>
      </c>
      <c r="M51" s="35" t="s">
        <v>302</v>
      </c>
      <c r="N51" s="33" t="n">
        <v>39</v>
      </c>
      <c r="O51" s="35" t="s">
        <v>258</v>
      </c>
      <c r="P51" s="45" t="n">
        <v>36080</v>
      </c>
      <c r="Q51" s="38" t="n">
        <v>-0.024</v>
      </c>
      <c r="R51" s="35" t="s">
        <v>258</v>
      </c>
      <c r="S51" s="45" t="n">
        <v>440</v>
      </c>
      <c r="T51" s="35" t="s">
        <v>255</v>
      </c>
      <c r="U51" s="33" t="n">
        <v>1</v>
      </c>
      <c r="V51" s="35" t="s">
        <v>259</v>
      </c>
      <c r="W51" s="33" t="n">
        <v>3</v>
      </c>
      <c r="X51" s="35" t="s">
        <v>259</v>
      </c>
      <c r="Y51" s="35" t="s">
        <v>255</v>
      </c>
      <c r="Z51" s="35" t="s">
        <v>259</v>
      </c>
      <c r="AA51" s="35" t="s">
        <v>255</v>
      </c>
      <c r="AB51" s="35" t="s">
        <v>255</v>
      </c>
      <c r="AC51" s="35" t="s">
        <v>255</v>
      </c>
      <c r="AD51" s="35" t="s">
        <v>259</v>
      </c>
      <c r="AE51" s="35" t="s">
        <v>259</v>
      </c>
      <c r="AF51" s="35" t="s">
        <v>259</v>
      </c>
      <c r="AG51" s="35" t="s">
        <v>259</v>
      </c>
      <c r="AH51" s="35" t="s">
        <v>259</v>
      </c>
      <c r="AI51" s="35" t="s">
        <v>255</v>
      </c>
      <c r="AJ51" s="35" t="s">
        <v>259</v>
      </c>
      <c r="AK51" s="8" t="s">
        <v>260</v>
      </c>
      <c r="AL51" s="8" t="s">
        <v>261</v>
      </c>
      <c r="AM51" s="8" t="s">
        <v>278</v>
      </c>
      <c r="AN51" s="8" t="s">
        <v>415</v>
      </c>
      <c r="AO51" s="8" t="s">
        <v>416</v>
      </c>
      <c r="AP51" s="35" t="s">
        <v>272</v>
      </c>
      <c r="AQ51" s="39" t="n">
        <v>33.3</v>
      </c>
      <c r="AR51" s="39" t="n">
        <v>4.1</v>
      </c>
      <c r="AS51" s="33" t="n">
        <v>51</v>
      </c>
      <c r="AT51" s="45"/>
      <c r="AU51" s="45" t="n">
        <v>660.2</v>
      </c>
      <c r="AV51" s="45" t="n">
        <v>230</v>
      </c>
      <c r="AW51" s="39" t="n">
        <v>79.3</v>
      </c>
      <c r="AX51" s="39" t="n">
        <v>73.8</v>
      </c>
      <c r="AY51" s="39" t="n">
        <v>71.2</v>
      </c>
      <c r="AZ51" s="39" t="n">
        <v>42</v>
      </c>
      <c r="BA51" s="39" t="n">
        <v>0</v>
      </c>
      <c r="BB51" s="39" t="n">
        <v>55.7</v>
      </c>
      <c r="BC51" s="8" t="s">
        <v>417</v>
      </c>
      <c r="BD51" s="47" t="s">
        <v>290</v>
      </c>
      <c r="BE51" s="41" t="s">
        <v>418</v>
      </c>
    </row>
    <row r="52" customFormat="false" ht="15" hidden="false" customHeight="false" outlineLevel="0" collapsed="false">
      <c r="A52" s="33" t="n">
        <f aca="false">RANK(B52,$B$5:$B$266)</f>
        <v>48</v>
      </c>
      <c r="B52" s="34" t="n">
        <f aca="false">ROUND((AW52*'Scoring Weights'!$B$5+AX52*'Scoring Weights'!$B$6+AY52*'Scoring Weights'!$B$7+BA52*'Scoring Weights'!$B$8+AZ52*'Scoring Weights'!$B$9+BB52*'Scoring Weights'!$B$10)/MAX('Scoring Weights'!$B$11,1),1)</f>
        <v>58</v>
      </c>
      <c r="C52" s="35" t="str">
        <f aca="false">IF(AND(H52&lt;='Search Criteria'!$B$5,D52&gt;='Search Criteria'!$B$6,AQ52&lt;='Search Criteria'!$B$7,I52&lt;=INDEX('Search Criteria'!$B$18:$B$20,MATCH(E52,'Search Criteria'!$A$18:$A$20,0)),OR(NOT('Search Criteria'!$B$8),L52&lt;&gt;"FWD"),OR(NOT('Search Criteria'!$B$9),T52="Yes"),OR(NOT('Search Criteria'!$B$10),W52&gt;0),OR(NOT('Search Criteria'!$B$11),X52="Yes"),OR(NOT('Search Criteria'!$B$12),O52="GREAT",O52="GOOD"),OR(NOT('Search Criteria'!$B$13),K52="Yes")),"YES","no")</f>
        <v>no</v>
      </c>
      <c r="D52" s="33" t="n">
        <v>2024</v>
      </c>
      <c r="E52" s="8" t="s">
        <v>94</v>
      </c>
      <c r="F52" s="8" t="s">
        <v>232</v>
      </c>
      <c r="G52" s="8" t="s">
        <v>301</v>
      </c>
      <c r="H52" s="45" t="n">
        <v>30809</v>
      </c>
      <c r="I52" s="46" t="n">
        <v>29108</v>
      </c>
      <c r="J52" s="37" t="n">
        <f aca="false">IFERROR(ROUND(I52/MAX(2026-D52,0.5),0),"")</f>
        <v>14554</v>
      </c>
      <c r="K52" s="35" t="s">
        <v>259</v>
      </c>
      <c r="L52" s="35" t="s">
        <v>285</v>
      </c>
      <c r="M52" s="35" t="s">
        <v>302</v>
      </c>
      <c r="N52" s="33" t="n">
        <v>40</v>
      </c>
      <c r="O52" s="35" t="s">
        <v>258</v>
      </c>
      <c r="P52" s="45" t="n">
        <v>32896</v>
      </c>
      <c r="Q52" s="38" t="n">
        <v>0.063</v>
      </c>
      <c r="R52" s="35" t="s">
        <v>277</v>
      </c>
      <c r="S52" s="45"/>
      <c r="T52" s="35" t="s">
        <v>255</v>
      </c>
      <c r="U52" s="33" t="n">
        <v>1</v>
      </c>
      <c r="V52" s="35" t="s">
        <v>255</v>
      </c>
      <c r="W52" s="33" t="n">
        <v>3</v>
      </c>
      <c r="X52" s="35" t="s">
        <v>255</v>
      </c>
      <c r="Y52" s="35" t="s">
        <v>255</v>
      </c>
      <c r="Z52" s="35" t="s">
        <v>259</v>
      </c>
      <c r="AA52" s="35" t="s">
        <v>255</v>
      </c>
      <c r="AB52" s="35" t="s">
        <v>255</v>
      </c>
      <c r="AC52" s="35" t="s">
        <v>259</v>
      </c>
      <c r="AD52" s="35" t="s">
        <v>255</v>
      </c>
      <c r="AE52" s="35" t="s">
        <v>259</v>
      </c>
      <c r="AF52" s="35" t="s">
        <v>259</v>
      </c>
      <c r="AG52" s="35" t="s">
        <v>259</v>
      </c>
      <c r="AH52" s="35" t="s">
        <v>259</v>
      </c>
      <c r="AI52" s="35" t="s">
        <v>255</v>
      </c>
      <c r="AJ52" s="35" t="s">
        <v>259</v>
      </c>
      <c r="AK52" s="8" t="s">
        <v>292</v>
      </c>
      <c r="AL52" s="8" t="s">
        <v>261</v>
      </c>
      <c r="AM52" s="8" t="s">
        <v>303</v>
      </c>
      <c r="AN52" s="8" t="s">
        <v>270</v>
      </c>
      <c r="AO52" s="8" t="s">
        <v>271</v>
      </c>
      <c r="AP52" s="35" t="s">
        <v>272</v>
      </c>
      <c r="AQ52" s="39" t="n">
        <v>71</v>
      </c>
      <c r="AR52" s="39" t="n">
        <v>4.7</v>
      </c>
      <c r="AS52" s="33" t="n">
        <v>86</v>
      </c>
      <c r="AT52" s="45"/>
      <c r="AU52" s="45" t="n">
        <v>550.36</v>
      </c>
      <c r="AV52" s="45" t="n">
        <v>314</v>
      </c>
      <c r="AW52" s="39" t="n">
        <v>91.6</v>
      </c>
      <c r="AX52" s="39" t="n">
        <v>87</v>
      </c>
      <c r="AY52" s="39" t="n">
        <v>49.5</v>
      </c>
      <c r="AZ52" s="39" t="n">
        <v>42</v>
      </c>
      <c r="BA52" s="39" t="n">
        <v>0</v>
      </c>
      <c r="BB52" s="39" t="n">
        <v>5.4</v>
      </c>
      <c r="BC52" s="8" t="s">
        <v>419</v>
      </c>
      <c r="BD52" s="47" t="s">
        <v>307</v>
      </c>
      <c r="BE52" s="41" t="s">
        <v>420</v>
      </c>
    </row>
    <row r="53" customFormat="false" ht="15" hidden="false" customHeight="false" outlineLevel="0" collapsed="false">
      <c r="A53" s="33" t="n">
        <f aca="false">RANK(B53,$B$5:$B$266)</f>
        <v>49</v>
      </c>
      <c r="B53" s="34" t="n">
        <f aca="false">ROUND((AW53*'Scoring Weights'!$B$5+AX53*'Scoring Weights'!$B$6+AY53*'Scoring Weights'!$B$7+BA53*'Scoring Weights'!$B$8+AZ53*'Scoring Weights'!$B$9+BB53*'Scoring Weights'!$B$10)/MAX('Scoring Weights'!$B$11,1),1)</f>
        <v>57.9</v>
      </c>
      <c r="C53" s="35" t="str">
        <f aca="false">IF(AND(H53&lt;='Search Criteria'!$B$5,D53&gt;='Search Criteria'!$B$6,AQ53&lt;='Search Criteria'!$B$7,I53&lt;=INDEX('Search Criteria'!$B$18:$B$20,MATCH(E53,'Search Criteria'!$A$18:$A$20,0)),OR(NOT('Search Criteria'!$B$8),L53&lt;&gt;"FWD"),OR(NOT('Search Criteria'!$B$9),T53="Yes"),OR(NOT('Search Criteria'!$B$10),W53&gt;0),OR(NOT('Search Criteria'!$B$11),X53="Yes"),OR(NOT('Search Criteria'!$B$12),O53="GREAT",O53="GOOD"),OR(NOT('Search Criteria'!$B$13),K53="Yes")),"YES","no")</f>
        <v>YES</v>
      </c>
      <c r="D53" s="33" t="n">
        <v>2024</v>
      </c>
      <c r="E53" s="8" t="s">
        <v>95</v>
      </c>
      <c r="F53" s="8" t="s">
        <v>234</v>
      </c>
      <c r="G53" s="8" t="s">
        <v>421</v>
      </c>
      <c r="H53" s="45" t="n">
        <v>30238</v>
      </c>
      <c r="I53" s="46" t="n">
        <v>25726</v>
      </c>
      <c r="J53" s="37" t="n">
        <f aca="false">IFERROR(ROUND(I53/MAX(2026-D53,0.5),0),"")</f>
        <v>12863</v>
      </c>
      <c r="K53" s="35" t="s">
        <v>259</v>
      </c>
      <c r="L53" s="35" t="s">
        <v>256</v>
      </c>
      <c r="M53" s="35" t="s">
        <v>257</v>
      </c>
      <c r="N53" s="33" t="n">
        <v>25</v>
      </c>
      <c r="O53" s="35" t="s">
        <v>286</v>
      </c>
      <c r="P53" s="45" t="n">
        <v>30011</v>
      </c>
      <c r="Q53" s="38" t="n">
        <v>-0.008</v>
      </c>
      <c r="R53" s="35" t="s">
        <v>286</v>
      </c>
      <c r="S53" s="45" t="n">
        <v>260</v>
      </c>
      <c r="T53" s="35" t="s">
        <v>255</v>
      </c>
      <c r="U53" s="33" t="n">
        <v>1</v>
      </c>
      <c r="V53" s="35" t="s">
        <v>255</v>
      </c>
      <c r="W53" s="33" t="n">
        <v>9</v>
      </c>
      <c r="X53" s="35" t="s">
        <v>255</v>
      </c>
      <c r="Y53" s="35" t="s">
        <v>255</v>
      </c>
      <c r="Z53" s="35" t="s">
        <v>255</v>
      </c>
      <c r="AA53" s="35" t="s">
        <v>255</v>
      </c>
      <c r="AB53" s="35" t="s">
        <v>255</v>
      </c>
      <c r="AC53" s="35" t="s">
        <v>255</v>
      </c>
      <c r="AD53" s="35" t="s">
        <v>255</v>
      </c>
      <c r="AE53" s="35" t="s">
        <v>259</v>
      </c>
      <c r="AF53" s="35" t="s">
        <v>255</v>
      </c>
      <c r="AG53" s="35" t="s">
        <v>259</v>
      </c>
      <c r="AH53" s="35" t="s">
        <v>255</v>
      </c>
      <c r="AI53" s="35" t="s">
        <v>255</v>
      </c>
      <c r="AJ53" s="35" t="s">
        <v>255</v>
      </c>
      <c r="AK53" s="8" t="s">
        <v>260</v>
      </c>
      <c r="AL53" s="8" t="s">
        <v>260</v>
      </c>
      <c r="AM53" s="8" t="s">
        <v>383</v>
      </c>
      <c r="AN53" s="8" t="s">
        <v>378</v>
      </c>
      <c r="AO53" s="8" t="s">
        <v>379</v>
      </c>
      <c r="AP53" s="35" t="s">
        <v>265</v>
      </c>
      <c r="AQ53" s="39" t="n">
        <v>46.9</v>
      </c>
      <c r="AR53" s="39" t="n">
        <v>4.7</v>
      </c>
      <c r="AS53" s="33" t="n">
        <v>75</v>
      </c>
      <c r="AT53" s="45" t="n">
        <v>2739</v>
      </c>
      <c r="AU53" s="45" t="n">
        <v>540.16</v>
      </c>
      <c r="AV53" s="45" t="n">
        <v>261</v>
      </c>
      <c r="AW53" s="39" t="n">
        <v>84.5</v>
      </c>
      <c r="AX53" s="39" t="n">
        <v>64.3</v>
      </c>
      <c r="AY53" s="39" t="n">
        <v>46.8</v>
      </c>
      <c r="AZ53" s="39" t="n">
        <v>82</v>
      </c>
      <c r="BA53" s="39" t="n">
        <v>0</v>
      </c>
      <c r="BB53" s="39" t="n">
        <v>37.5</v>
      </c>
      <c r="BC53" s="8" t="s">
        <v>422</v>
      </c>
      <c r="BD53" s="47" t="s">
        <v>423</v>
      </c>
      <c r="BE53" s="41" t="s">
        <v>170</v>
      </c>
    </row>
    <row r="54" customFormat="false" ht="15" hidden="false" customHeight="false" outlineLevel="0" collapsed="false">
      <c r="A54" s="33" t="n">
        <f aca="false">RANK(B54,$B$5:$B$266)</f>
        <v>49</v>
      </c>
      <c r="B54" s="34" t="n">
        <f aca="false">ROUND((AW54*'Scoring Weights'!$B$5+AX54*'Scoring Weights'!$B$6+AY54*'Scoring Weights'!$B$7+BA54*'Scoring Weights'!$B$8+AZ54*'Scoring Weights'!$B$9+BB54*'Scoring Weights'!$B$10)/MAX('Scoring Weights'!$B$11,1),1)</f>
        <v>57.9</v>
      </c>
      <c r="C54" s="35" t="str">
        <f aca="false">IF(AND(H54&lt;='Search Criteria'!$B$5,D54&gt;='Search Criteria'!$B$6,AQ54&lt;='Search Criteria'!$B$7,I54&lt;=INDEX('Search Criteria'!$B$18:$B$20,MATCH(E54,'Search Criteria'!$A$18:$A$20,0)),OR(NOT('Search Criteria'!$B$8),L54&lt;&gt;"FWD"),OR(NOT('Search Criteria'!$B$9),T54="Yes"),OR(NOT('Search Criteria'!$B$10),W54&gt;0),OR(NOT('Search Criteria'!$B$11),X54="Yes"),OR(NOT('Search Criteria'!$B$12),O54="GREAT",O54="GOOD"),OR(NOT('Search Criteria'!$B$13),K54="Yes")),"YES","no")</f>
        <v>no</v>
      </c>
      <c r="D54" s="33" t="n">
        <v>2024</v>
      </c>
      <c r="E54" s="8" t="s">
        <v>95</v>
      </c>
      <c r="F54" s="8" t="s">
        <v>234</v>
      </c>
      <c r="G54" s="8" t="s">
        <v>421</v>
      </c>
      <c r="H54" s="45" t="n">
        <v>28261</v>
      </c>
      <c r="I54" s="46" t="n">
        <v>31604</v>
      </c>
      <c r="J54" s="37" t="n">
        <f aca="false">IFERROR(ROUND(I54/MAX(2026-D54,0.5),0),"")</f>
        <v>15802</v>
      </c>
      <c r="K54" s="35" t="s">
        <v>259</v>
      </c>
      <c r="L54" s="35" t="s">
        <v>256</v>
      </c>
      <c r="M54" s="35" t="s">
        <v>257</v>
      </c>
      <c r="N54" s="33" t="n">
        <v>25</v>
      </c>
      <c r="O54" s="35" t="s">
        <v>258</v>
      </c>
      <c r="P54" s="45" t="n">
        <v>29387</v>
      </c>
      <c r="Q54" s="38" t="n">
        <v>0.038</v>
      </c>
      <c r="R54" s="35" t="s">
        <v>258</v>
      </c>
      <c r="S54" s="45" t="n">
        <v>200</v>
      </c>
      <c r="T54" s="35" t="s">
        <v>259</v>
      </c>
      <c r="U54" s="33" t="n">
        <v>1</v>
      </c>
      <c r="V54" s="35" t="s">
        <v>255</v>
      </c>
      <c r="W54" s="33" t="n">
        <v>6</v>
      </c>
      <c r="X54" s="35" t="s">
        <v>255</v>
      </c>
      <c r="Y54" s="35" t="s">
        <v>255</v>
      </c>
      <c r="Z54" s="35" t="s">
        <v>255</v>
      </c>
      <c r="AA54" s="35" t="s">
        <v>255</v>
      </c>
      <c r="AB54" s="35" t="s">
        <v>255</v>
      </c>
      <c r="AC54" s="35" t="s">
        <v>255</v>
      </c>
      <c r="AD54" s="35" t="s">
        <v>255</v>
      </c>
      <c r="AE54" s="35" t="s">
        <v>259</v>
      </c>
      <c r="AF54" s="35" t="s">
        <v>255</v>
      </c>
      <c r="AG54" s="35" t="s">
        <v>255</v>
      </c>
      <c r="AH54" s="35" t="s">
        <v>255</v>
      </c>
      <c r="AI54" s="35" t="s">
        <v>255</v>
      </c>
      <c r="AJ54" s="35" t="s">
        <v>255</v>
      </c>
      <c r="AK54" s="8" t="s">
        <v>309</v>
      </c>
      <c r="AL54" s="8" t="s">
        <v>260</v>
      </c>
      <c r="AM54" s="8" t="s">
        <v>383</v>
      </c>
      <c r="AN54" s="8" t="s">
        <v>424</v>
      </c>
      <c r="AO54" s="8" t="s">
        <v>425</v>
      </c>
      <c r="AP54" s="35" t="s">
        <v>265</v>
      </c>
      <c r="AQ54" s="39" t="n">
        <v>72.9</v>
      </c>
      <c r="AR54" s="39" t="n">
        <v>4.2</v>
      </c>
      <c r="AS54" s="33" t="n">
        <v>77</v>
      </c>
      <c r="AT54" s="45"/>
      <c r="AU54" s="45" t="n">
        <v>504.84</v>
      </c>
      <c r="AV54" s="45" t="n">
        <v>261</v>
      </c>
      <c r="AW54" s="39" t="n">
        <v>81.6</v>
      </c>
      <c r="AX54" s="39" t="n">
        <v>83.2</v>
      </c>
      <c r="AY54" s="39" t="n">
        <v>31.2</v>
      </c>
      <c r="AZ54" s="39" t="n">
        <v>90</v>
      </c>
      <c r="BA54" s="39" t="n">
        <v>0</v>
      </c>
      <c r="BB54" s="39" t="n">
        <v>2.7</v>
      </c>
      <c r="BC54" s="8" t="s">
        <v>426</v>
      </c>
      <c r="BD54" s="47" t="s">
        <v>423</v>
      </c>
      <c r="BE54" s="41" t="s">
        <v>427</v>
      </c>
    </row>
    <row r="55" customFormat="false" ht="15" hidden="false" customHeight="false" outlineLevel="0" collapsed="false">
      <c r="A55" s="33" t="n">
        <f aca="false">RANK(B55,$B$5:$B$266)</f>
        <v>51</v>
      </c>
      <c r="B55" s="34" t="n">
        <f aca="false">ROUND((AW55*'Scoring Weights'!$B$5+AX55*'Scoring Weights'!$B$6+AY55*'Scoring Weights'!$B$7+BA55*'Scoring Weights'!$B$8+AZ55*'Scoring Weights'!$B$9+BB55*'Scoring Weights'!$B$10)/MAX('Scoring Weights'!$B$11,1),1)</f>
        <v>57.7</v>
      </c>
      <c r="C55" s="35" t="str">
        <f aca="false">IF(AND(H55&lt;='Search Criteria'!$B$5,D55&gt;='Search Criteria'!$B$6,AQ55&lt;='Search Criteria'!$B$7,I55&lt;=INDEX('Search Criteria'!$B$18:$B$20,MATCH(E55,'Search Criteria'!$A$18:$A$20,0)),OR(NOT('Search Criteria'!$B$8),L55&lt;&gt;"FWD"),OR(NOT('Search Criteria'!$B$9),T55="Yes"),OR(NOT('Search Criteria'!$B$10),W55&gt;0),OR(NOT('Search Criteria'!$B$11),X55="Yes"),OR(NOT('Search Criteria'!$B$12),O55="GREAT",O55="GOOD"),OR(NOT('Search Criteria'!$B$13),K55="Yes")),"YES","no")</f>
        <v>YES</v>
      </c>
      <c r="D55" s="33" t="n">
        <v>2022</v>
      </c>
      <c r="E55" s="8" t="s">
        <v>94</v>
      </c>
      <c r="F55" s="8" t="s">
        <v>232</v>
      </c>
      <c r="G55" s="8" t="s">
        <v>254</v>
      </c>
      <c r="H55" s="45" t="n">
        <v>27793</v>
      </c>
      <c r="I55" s="46" t="n">
        <v>49644</v>
      </c>
      <c r="J55" s="37" t="n">
        <f aca="false">IFERROR(ROUND(I55/MAX(2026-D55,0.5),0),"")</f>
        <v>12411</v>
      </c>
      <c r="K55" s="35" t="s">
        <v>259</v>
      </c>
      <c r="L55" s="35" t="s">
        <v>256</v>
      </c>
      <c r="M55" s="35" t="s">
        <v>257</v>
      </c>
      <c r="N55" s="33" t="n">
        <v>29</v>
      </c>
      <c r="O55" s="35" t="s">
        <v>258</v>
      </c>
      <c r="P55" s="45" t="n">
        <v>29201</v>
      </c>
      <c r="Q55" s="38" t="n">
        <v>0.048</v>
      </c>
      <c r="R55" s="35" t="s">
        <v>258</v>
      </c>
      <c r="S55" s="45" t="n">
        <v>340</v>
      </c>
      <c r="T55" s="35" t="s">
        <v>255</v>
      </c>
      <c r="U55" s="33" t="n">
        <v>3</v>
      </c>
      <c r="V55" s="35" t="s">
        <v>255</v>
      </c>
      <c r="W55" s="33" t="n">
        <v>12</v>
      </c>
      <c r="X55" s="35" t="s">
        <v>255</v>
      </c>
      <c r="Y55" s="35" t="s">
        <v>255</v>
      </c>
      <c r="Z55" s="35" t="s">
        <v>259</v>
      </c>
      <c r="AA55" s="35" t="s">
        <v>255</v>
      </c>
      <c r="AB55" s="35" t="s">
        <v>255</v>
      </c>
      <c r="AC55" s="35" t="s">
        <v>255</v>
      </c>
      <c r="AD55" s="35" t="s">
        <v>255</v>
      </c>
      <c r="AE55" s="35" t="s">
        <v>259</v>
      </c>
      <c r="AF55" s="35" t="s">
        <v>259</v>
      </c>
      <c r="AG55" s="35" t="s">
        <v>259</v>
      </c>
      <c r="AH55" s="35" t="s">
        <v>259</v>
      </c>
      <c r="AI55" s="35" t="s">
        <v>255</v>
      </c>
      <c r="AJ55" s="35" t="s">
        <v>259</v>
      </c>
      <c r="AK55" s="8" t="s">
        <v>269</v>
      </c>
      <c r="AL55" s="8" t="s">
        <v>292</v>
      </c>
      <c r="AM55" s="8" t="s">
        <v>262</v>
      </c>
      <c r="AN55" s="8" t="s">
        <v>428</v>
      </c>
      <c r="AO55" s="8" t="s">
        <v>429</v>
      </c>
      <c r="AP55" s="35" t="s">
        <v>265</v>
      </c>
      <c r="AQ55" s="39" t="n">
        <v>50.6</v>
      </c>
      <c r="AR55" s="39" t="n">
        <v>4.7</v>
      </c>
      <c r="AS55" s="33" t="n">
        <v>41</v>
      </c>
      <c r="AT55" s="45"/>
      <c r="AU55" s="45" t="n">
        <v>496.48</v>
      </c>
      <c r="AV55" s="45" t="n">
        <v>200</v>
      </c>
      <c r="AW55" s="39" t="n">
        <v>91.2</v>
      </c>
      <c r="AX55" s="39" t="n">
        <v>84.7</v>
      </c>
      <c r="AY55" s="39" t="n">
        <v>34.3</v>
      </c>
      <c r="AZ55" s="39" t="n">
        <v>54</v>
      </c>
      <c r="BA55" s="39" t="n">
        <v>0</v>
      </c>
      <c r="BB55" s="39" t="n">
        <v>32.6</v>
      </c>
      <c r="BC55" s="8" t="s">
        <v>430</v>
      </c>
      <c r="BD55" s="47" t="s">
        <v>431</v>
      </c>
      <c r="BE55" s="41" t="s">
        <v>172</v>
      </c>
    </row>
    <row r="56" customFormat="false" ht="15" hidden="false" customHeight="false" outlineLevel="0" collapsed="false">
      <c r="A56" s="33" t="n">
        <f aca="false">RANK(B56,$B$5:$B$266)</f>
        <v>52</v>
      </c>
      <c r="B56" s="34" t="n">
        <f aca="false">ROUND((AW56*'Scoring Weights'!$B$5+AX56*'Scoring Weights'!$B$6+AY56*'Scoring Weights'!$B$7+BA56*'Scoring Weights'!$B$8+AZ56*'Scoring Weights'!$B$9+BB56*'Scoring Weights'!$B$10)/MAX('Scoring Weights'!$B$11,1),1)</f>
        <v>57.4</v>
      </c>
      <c r="C56" s="35" t="str">
        <f aca="false">IF(AND(H56&lt;='Search Criteria'!$B$5,D56&gt;='Search Criteria'!$B$6,AQ56&lt;='Search Criteria'!$B$7,I56&lt;=INDEX('Search Criteria'!$B$18:$B$20,MATCH(E56,'Search Criteria'!$A$18:$A$20,0)),OR(NOT('Search Criteria'!$B$8),L56&lt;&gt;"FWD"),OR(NOT('Search Criteria'!$B$9),T56="Yes"),OR(NOT('Search Criteria'!$B$10),W56&gt;0),OR(NOT('Search Criteria'!$B$11),X56="Yes"),OR(NOT('Search Criteria'!$B$12),O56="GREAT",O56="GOOD"),OR(NOT('Search Criteria'!$B$13),K56="Yes")),"YES","no")</f>
        <v>no</v>
      </c>
      <c r="D56" s="33" t="n">
        <v>2023</v>
      </c>
      <c r="E56" s="8" t="s">
        <v>94</v>
      </c>
      <c r="F56" s="8" t="s">
        <v>232</v>
      </c>
      <c r="G56" s="8" t="s">
        <v>328</v>
      </c>
      <c r="H56" s="45" t="n">
        <v>33741</v>
      </c>
      <c r="I56" s="46" t="n">
        <v>40529</v>
      </c>
      <c r="J56" s="37" t="n">
        <f aca="false">IFERROR(ROUND(I56/MAX(2026-D56,0.5),0),"")</f>
        <v>13510</v>
      </c>
      <c r="K56" s="35" t="s">
        <v>259</v>
      </c>
      <c r="L56" s="35" t="s">
        <v>256</v>
      </c>
      <c r="M56" s="35" t="s">
        <v>302</v>
      </c>
      <c r="N56" s="33" t="n">
        <v>37</v>
      </c>
      <c r="O56" s="35" t="s">
        <v>297</v>
      </c>
      <c r="P56" s="45" t="n">
        <v>30969</v>
      </c>
      <c r="Q56" s="38" t="n">
        <v>-0.09</v>
      </c>
      <c r="R56" s="35" t="s">
        <v>277</v>
      </c>
      <c r="S56" s="45"/>
      <c r="T56" s="35" t="s">
        <v>259</v>
      </c>
      <c r="U56" s="33" t="n">
        <v>1</v>
      </c>
      <c r="V56" s="35" t="s">
        <v>255</v>
      </c>
      <c r="W56" s="33" t="n">
        <v>12</v>
      </c>
      <c r="X56" s="35" t="s">
        <v>255</v>
      </c>
      <c r="Y56" s="35" t="s">
        <v>255</v>
      </c>
      <c r="Z56" s="35" t="s">
        <v>255</v>
      </c>
      <c r="AA56" s="35" t="s">
        <v>255</v>
      </c>
      <c r="AB56" s="35" t="s">
        <v>255</v>
      </c>
      <c r="AC56" s="35" t="s">
        <v>255</v>
      </c>
      <c r="AD56" s="35" t="s">
        <v>255</v>
      </c>
      <c r="AE56" s="35" t="s">
        <v>255</v>
      </c>
      <c r="AF56" s="35" t="s">
        <v>255</v>
      </c>
      <c r="AG56" s="35" t="s">
        <v>255</v>
      </c>
      <c r="AH56" s="35" t="s">
        <v>255</v>
      </c>
      <c r="AI56" s="35" t="s">
        <v>255</v>
      </c>
      <c r="AJ56" s="35" t="s">
        <v>255</v>
      </c>
      <c r="AK56" s="8" t="s">
        <v>309</v>
      </c>
      <c r="AL56" s="8" t="s">
        <v>261</v>
      </c>
      <c r="AM56" s="8" t="s">
        <v>303</v>
      </c>
      <c r="AN56" s="8" t="s">
        <v>263</v>
      </c>
      <c r="AO56" s="8" t="s">
        <v>264</v>
      </c>
      <c r="AP56" s="35" t="s">
        <v>265</v>
      </c>
      <c r="AQ56" s="39" t="n">
        <v>0.4</v>
      </c>
      <c r="AR56" s="39" t="n">
        <v>4.6</v>
      </c>
      <c r="AS56" s="33" t="n">
        <v>1</v>
      </c>
      <c r="AT56" s="45"/>
      <c r="AU56" s="45" t="n">
        <v>602.73</v>
      </c>
      <c r="AV56" s="45" t="n">
        <v>261</v>
      </c>
      <c r="AW56" s="39" t="n">
        <v>86.4</v>
      </c>
      <c r="AX56" s="39" t="n">
        <v>39.3</v>
      </c>
      <c r="AY56" s="39" t="n">
        <v>40.7</v>
      </c>
      <c r="AZ56" s="39" t="n">
        <v>100</v>
      </c>
      <c r="BA56" s="39" t="n">
        <v>0</v>
      </c>
      <c r="BB56" s="39" t="n">
        <v>99.4</v>
      </c>
      <c r="BC56" s="8" t="s">
        <v>432</v>
      </c>
      <c r="BD56" s="47" t="s">
        <v>330</v>
      </c>
      <c r="BE56" s="41" t="s">
        <v>433</v>
      </c>
    </row>
    <row r="57" customFormat="false" ht="15" hidden="false" customHeight="false" outlineLevel="0" collapsed="false">
      <c r="A57" s="33" t="n">
        <f aca="false">RANK(B57,$B$5:$B$266)</f>
        <v>52</v>
      </c>
      <c r="B57" s="34" t="n">
        <f aca="false">ROUND((AW57*'Scoring Weights'!$B$5+AX57*'Scoring Weights'!$B$6+AY57*'Scoring Weights'!$B$7+BA57*'Scoring Weights'!$B$8+AZ57*'Scoring Weights'!$B$9+BB57*'Scoring Weights'!$B$10)/MAX('Scoring Weights'!$B$11,1),1)</f>
        <v>57.4</v>
      </c>
      <c r="C57" s="35" t="str">
        <f aca="false">IF(AND(H57&lt;='Search Criteria'!$B$5,D57&gt;='Search Criteria'!$B$6,AQ57&lt;='Search Criteria'!$B$7,I57&lt;=INDEX('Search Criteria'!$B$18:$B$20,MATCH(E57,'Search Criteria'!$A$18:$A$20,0)),OR(NOT('Search Criteria'!$B$8),L57&lt;&gt;"FWD"),OR(NOT('Search Criteria'!$B$9),T57="Yes"),OR(NOT('Search Criteria'!$B$10),W57&gt;0),OR(NOT('Search Criteria'!$B$11),X57="Yes"),OR(NOT('Search Criteria'!$B$12),O57="GREAT",O57="GOOD"),OR(NOT('Search Criteria'!$B$13),K57="Yes")),"YES","no")</f>
        <v>YES</v>
      </c>
      <c r="D57" s="33" t="n">
        <v>2025</v>
      </c>
      <c r="E57" s="8" t="s">
        <v>94</v>
      </c>
      <c r="F57" s="8" t="s">
        <v>232</v>
      </c>
      <c r="G57" s="8" t="s">
        <v>332</v>
      </c>
      <c r="H57" s="45" t="n">
        <v>35897</v>
      </c>
      <c r="I57" s="46" t="n">
        <v>27590</v>
      </c>
      <c r="J57" s="37" t="n">
        <f aca="false">IFERROR(ROUND(I57/MAX(2026-D57,0.5),0),"")</f>
        <v>27590</v>
      </c>
      <c r="K57" s="35" t="s">
        <v>259</v>
      </c>
      <c r="L57" s="35" t="s">
        <v>256</v>
      </c>
      <c r="M57" s="35" t="s">
        <v>302</v>
      </c>
      <c r="N57" s="33" t="n">
        <v>37</v>
      </c>
      <c r="O57" s="35" t="s">
        <v>286</v>
      </c>
      <c r="P57" s="45" t="n">
        <v>34139</v>
      </c>
      <c r="Q57" s="38" t="n">
        <v>-0.052</v>
      </c>
      <c r="R57" s="35" t="s">
        <v>258</v>
      </c>
      <c r="S57" s="45" t="n">
        <v>610</v>
      </c>
      <c r="T57" s="35" t="s">
        <v>255</v>
      </c>
      <c r="U57" s="33" t="n">
        <v>2</v>
      </c>
      <c r="V57" s="35" t="s">
        <v>259</v>
      </c>
      <c r="W57" s="33" t="n">
        <v>12</v>
      </c>
      <c r="X57" s="35" t="s">
        <v>255</v>
      </c>
      <c r="Y57" s="35" t="s">
        <v>255</v>
      </c>
      <c r="Z57" s="35" t="s">
        <v>259</v>
      </c>
      <c r="AA57" s="35" t="s">
        <v>255</v>
      </c>
      <c r="AB57" s="35" t="s">
        <v>255</v>
      </c>
      <c r="AC57" s="35" t="s">
        <v>255</v>
      </c>
      <c r="AD57" s="35" t="s">
        <v>255</v>
      </c>
      <c r="AE57" s="35" t="s">
        <v>255</v>
      </c>
      <c r="AF57" s="35" t="s">
        <v>259</v>
      </c>
      <c r="AG57" s="35" t="s">
        <v>255</v>
      </c>
      <c r="AH57" s="35" t="s">
        <v>255</v>
      </c>
      <c r="AI57" s="35" t="s">
        <v>255</v>
      </c>
      <c r="AJ57" s="35" t="s">
        <v>259</v>
      </c>
      <c r="AK57" s="8" t="s">
        <v>260</v>
      </c>
      <c r="AL57" s="8" t="s">
        <v>358</v>
      </c>
      <c r="AM57" s="8" t="s">
        <v>303</v>
      </c>
      <c r="AN57" s="8" t="s">
        <v>263</v>
      </c>
      <c r="AO57" s="8" t="s">
        <v>264</v>
      </c>
      <c r="AP57" s="35" t="s">
        <v>265</v>
      </c>
      <c r="AQ57" s="39" t="n">
        <v>0.4</v>
      </c>
      <c r="AR57" s="39" t="n">
        <v>4.6</v>
      </c>
      <c r="AS57" s="33" t="n">
        <v>16</v>
      </c>
      <c r="AT57" s="45" t="n">
        <v>-43</v>
      </c>
      <c r="AU57" s="45" t="n">
        <v>641.25</v>
      </c>
      <c r="AV57" s="45" t="n">
        <v>261</v>
      </c>
      <c r="AW57" s="39" t="n">
        <v>81.4</v>
      </c>
      <c r="AX57" s="39" t="n">
        <v>57.7</v>
      </c>
      <c r="AY57" s="39" t="n">
        <v>42.4</v>
      </c>
      <c r="AZ57" s="39" t="n">
        <v>78</v>
      </c>
      <c r="BA57" s="39" t="n">
        <v>0</v>
      </c>
      <c r="BB57" s="39" t="n">
        <v>99.4</v>
      </c>
      <c r="BC57" s="8" t="s">
        <v>434</v>
      </c>
      <c r="BD57" s="47" t="s">
        <v>274</v>
      </c>
      <c r="BE57" s="41" t="s">
        <v>173</v>
      </c>
    </row>
    <row r="58" customFormat="false" ht="15" hidden="false" customHeight="false" outlineLevel="0" collapsed="false">
      <c r="A58" s="33" t="n">
        <f aca="false">RANK(B58,$B$5:$B$266)</f>
        <v>54</v>
      </c>
      <c r="B58" s="34" t="n">
        <f aca="false">ROUND((AW58*'Scoring Weights'!$B$5+AX58*'Scoring Weights'!$B$6+AY58*'Scoring Weights'!$B$7+BA58*'Scoring Weights'!$B$8+AZ58*'Scoring Weights'!$B$9+BB58*'Scoring Weights'!$B$10)/MAX('Scoring Weights'!$B$11,1),1)</f>
        <v>57.3</v>
      </c>
      <c r="C58" s="35" t="str">
        <f aca="false">IF(AND(H58&lt;='Search Criteria'!$B$5,D58&gt;='Search Criteria'!$B$6,AQ58&lt;='Search Criteria'!$B$7,I58&lt;=INDEX('Search Criteria'!$B$18:$B$20,MATCH(E58,'Search Criteria'!$A$18:$A$20,0)),OR(NOT('Search Criteria'!$B$8),L58&lt;&gt;"FWD"),OR(NOT('Search Criteria'!$B$9),T58="Yes"),OR(NOT('Search Criteria'!$B$10),W58&gt;0),OR(NOT('Search Criteria'!$B$11),X58="Yes"),OR(NOT('Search Criteria'!$B$12),O58="GREAT",O58="GOOD"),OR(NOT('Search Criteria'!$B$13),K58="Yes")),"YES","no")</f>
        <v>YES</v>
      </c>
      <c r="D58" s="33" t="n">
        <v>2025</v>
      </c>
      <c r="E58" s="8" t="s">
        <v>94</v>
      </c>
      <c r="F58" s="8" t="s">
        <v>233</v>
      </c>
      <c r="G58" s="8" t="s">
        <v>301</v>
      </c>
      <c r="H58" s="45" t="n">
        <v>27095</v>
      </c>
      <c r="I58" s="46" t="n">
        <v>21310</v>
      </c>
      <c r="J58" s="37" t="n">
        <f aca="false">IFERROR(ROUND(I58/MAX(2026-D58,0.5),0),"")</f>
        <v>21310</v>
      </c>
      <c r="K58" s="35" t="s">
        <v>259</v>
      </c>
      <c r="L58" s="35" t="s">
        <v>256</v>
      </c>
      <c r="M58" s="35" t="s">
        <v>257</v>
      </c>
      <c r="N58" s="33" t="n">
        <v>27</v>
      </c>
      <c r="O58" s="35" t="s">
        <v>286</v>
      </c>
      <c r="P58" s="45" t="n">
        <v>27112</v>
      </c>
      <c r="Q58" s="38" t="n">
        <v>0.001</v>
      </c>
      <c r="R58" s="35" t="s">
        <v>258</v>
      </c>
      <c r="S58" s="45" t="n">
        <v>220</v>
      </c>
      <c r="T58" s="35" t="s">
        <v>255</v>
      </c>
      <c r="U58" s="33" t="n">
        <v>1</v>
      </c>
      <c r="V58" s="35" t="s">
        <v>255</v>
      </c>
      <c r="W58" s="33" t="n">
        <v>5</v>
      </c>
      <c r="X58" s="35" t="s">
        <v>255</v>
      </c>
      <c r="Y58" s="35" t="s">
        <v>255</v>
      </c>
      <c r="Z58" s="35" t="s">
        <v>259</v>
      </c>
      <c r="AA58" s="35" t="s">
        <v>259</v>
      </c>
      <c r="AB58" s="35" t="s">
        <v>255</v>
      </c>
      <c r="AC58" s="35" t="s">
        <v>259</v>
      </c>
      <c r="AD58" s="35" t="s">
        <v>255</v>
      </c>
      <c r="AE58" s="35" t="s">
        <v>255</v>
      </c>
      <c r="AF58" s="35" t="s">
        <v>259</v>
      </c>
      <c r="AG58" s="35" t="s">
        <v>259</v>
      </c>
      <c r="AH58" s="35" t="s">
        <v>259</v>
      </c>
      <c r="AI58" s="35" t="s">
        <v>259</v>
      </c>
      <c r="AJ58" s="35" t="s">
        <v>259</v>
      </c>
      <c r="AK58" s="8" t="s">
        <v>435</v>
      </c>
      <c r="AL58" s="8" t="s">
        <v>261</v>
      </c>
      <c r="AM58" s="8" t="s">
        <v>303</v>
      </c>
      <c r="AN58" s="8" t="s">
        <v>263</v>
      </c>
      <c r="AO58" s="8" t="s">
        <v>264</v>
      </c>
      <c r="AP58" s="35" t="s">
        <v>265</v>
      </c>
      <c r="AQ58" s="39" t="n">
        <v>0.4</v>
      </c>
      <c r="AR58" s="39" t="n">
        <v>4.6</v>
      </c>
      <c r="AS58" s="33" t="n">
        <v>2</v>
      </c>
      <c r="AT58" s="45"/>
      <c r="AU58" s="45" t="n">
        <v>484.01</v>
      </c>
      <c r="AV58" s="45" t="n">
        <v>261</v>
      </c>
      <c r="AW58" s="39" t="n">
        <v>94</v>
      </c>
      <c r="AX58" s="39" t="n">
        <v>65.5</v>
      </c>
      <c r="AY58" s="39" t="n">
        <v>48.7</v>
      </c>
      <c r="AZ58" s="39" t="n">
        <v>34</v>
      </c>
      <c r="BA58" s="39" t="n">
        <v>0</v>
      </c>
      <c r="BB58" s="39" t="n">
        <v>99.4</v>
      </c>
      <c r="BC58" s="8" t="s">
        <v>436</v>
      </c>
      <c r="BD58" s="47" t="s">
        <v>390</v>
      </c>
      <c r="BE58" s="41" t="s">
        <v>175</v>
      </c>
    </row>
    <row r="59" customFormat="false" ht="15" hidden="false" customHeight="false" outlineLevel="0" collapsed="false">
      <c r="A59" s="33" t="n">
        <f aca="false">RANK(B59,$B$5:$B$266)</f>
        <v>54</v>
      </c>
      <c r="B59" s="34" t="n">
        <f aca="false">ROUND((AW59*'Scoring Weights'!$B$5+AX59*'Scoring Weights'!$B$6+AY59*'Scoring Weights'!$B$7+BA59*'Scoring Weights'!$B$8+AZ59*'Scoring Weights'!$B$9+BB59*'Scoring Weights'!$B$10)/MAX('Scoring Weights'!$B$11,1),1)</f>
        <v>57.3</v>
      </c>
      <c r="C59" s="35" t="str">
        <f aca="false">IF(AND(H59&lt;='Search Criteria'!$B$5,D59&gt;='Search Criteria'!$B$6,AQ59&lt;='Search Criteria'!$B$7,I59&lt;=INDEX('Search Criteria'!$B$18:$B$20,MATCH(E59,'Search Criteria'!$A$18:$A$20,0)),OR(NOT('Search Criteria'!$B$8),L59&lt;&gt;"FWD"),OR(NOT('Search Criteria'!$B$9),T59="Yes"),OR(NOT('Search Criteria'!$B$10),W59&gt;0),OR(NOT('Search Criteria'!$B$11),X59="Yes"),OR(NOT('Search Criteria'!$B$12),O59="GREAT",O59="GOOD"),OR(NOT('Search Criteria'!$B$13),K59="Yes")),"YES","no")</f>
        <v>no</v>
      </c>
      <c r="D59" s="33" t="n">
        <v>2024</v>
      </c>
      <c r="E59" s="8" t="s">
        <v>94</v>
      </c>
      <c r="F59" s="8" t="s">
        <v>232</v>
      </c>
      <c r="G59" s="8" t="s">
        <v>254</v>
      </c>
      <c r="H59" s="45" t="n">
        <v>32499</v>
      </c>
      <c r="I59" s="46" t="n">
        <v>36807</v>
      </c>
      <c r="J59" s="37" t="n">
        <f aca="false">IFERROR(ROUND(I59/MAX(2026-D59,0.5),0),"")</f>
        <v>18404</v>
      </c>
      <c r="K59" s="35" t="s">
        <v>259</v>
      </c>
      <c r="L59" s="35" t="s">
        <v>256</v>
      </c>
      <c r="M59" s="35" t="s">
        <v>257</v>
      </c>
      <c r="N59" s="33" t="n">
        <v>29</v>
      </c>
      <c r="O59" s="35" t="s">
        <v>286</v>
      </c>
      <c r="P59" s="45" t="n">
        <v>32364</v>
      </c>
      <c r="Q59" s="38" t="n">
        <v>-0.004</v>
      </c>
      <c r="R59" s="35" t="s">
        <v>258</v>
      </c>
      <c r="S59" s="45" t="n">
        <v>320</v>
      </c>
      <c r="T59" s="35" t="s">
        <v>259</v>
      </c>
      <c r="U59" s="33" t="n">
        <v>1</v>
      </c>
      <c r="V59" s="35" t="s">
        <v>255</v>
      </c>
      <c r="W59" s="33" t="n">
        <v>8</v>
      </c>
      <c r="X59" s="35" t="s">
        <v>255</v>
      </c>
      <c r="Y59" s="35" t="s">
        <v>255</v>
      </c>
      <c r="Z59" s="35" t="s">
        <v>259</v>
      </c>
      <c r="AA59" s="35" t="s">
        <v>255</v>
      </c>
      <c r="AB59" s="35" t="s">
        <v>255</v>
      </c>
      <c r="AC59" s="35" t="s">
        <v>255</v>
      </c>
      <c r="AD59" s="35" t="s">
        <v>255</v>
      </c>
      <c r="AE59" s="35" t="s">
        <v>255</v>
      </c>
      <c r="AF59" s="35" t="s">
        <v>259</v>
      </c>
      <c r="AG59" s="35" t="s">
        <v>255</v>
      </c>
      <c r="AH59" s="35" t="s">
        <v>255</v>
      </c>
      <c r="AI59" s="35" t="s">
        <v>255</v>
      </c>
      <c r="AJ59" s="35" t="s">
        <v>259</v>
      </c>
      <c r="AK59" s="8" t="s">
        <v>260</v>
      </c>
      <c r="AL59" s="8" t="s">
        <v>260</v>
      </c>
      <c r="AM59" s="8" t="s">
        <v>262</v>
      </c>
      <c r="AN59" s="8" t="s">
        <v>437</v>
      </c>
      <c r="AO59" s="8" t="s">
        <v>280</v>
      </c>
      <c r="AP59" s="35" t="s">
        <v>265</v>
      </c>
      <c r="AQ59" s="39" t="n">
        <v>10.6</v>
      </c>
      <c r="AR59" s="39" t="n">
        <v>4.7</v>
      </c>
      <c r="AS59" s="33" t="n">
        <v>4</v>
      </c>
      <c r="AT59" s="45"/>
      <c r="AU59" s="45" t="n">
        <v>580.55</v>
      </c>
      <c r="AV59" s="45" t="n">
        <v>250</v>
      </c>
      <c r="AW59" s="39" t="n">
        <v>84</v>
      </c>
      <c r="AX59" s="39" t="n">
        <v>64.8</v>
      </c>
      <c r="AY59" s="39" t="n">
        <v>33.2</v>
      </c>
      <c r="AZ59" s="39" t="n">
        <v>78</v>
      </c>
      <c r="BA59" s="39" t="n">
        <v>0</v>
      </c>
      <c r="BB59" s="39" t="n">
        <v>85.9</v>
      </c>
      <c r="BC59" s="8" t="s">
        <v>438</v>
      </c>
      <c r="BD59" s="47" t="s">
        <v>307</v>
      </c>
      <c r="BE59" s="41" t="s">
        <v>439</v>
      </c>
    </row>
    <row r="60" customFormat="false" ht="15" hidden="false" customHeight="false" outlineLevel="0" collapsed="false">
      <c r="A60" s="33" t="n">
        <f aca="false">RANK(B60,$B$5:$B$266)</f>
        <v>54</v>
      </c>
      <c r="B60" s="34" t="n">
        <f aca="false">ROUND((AW60*'Scoring Weights'!$B$5+AX60*'Scoring Weights'!$B$6+AY60*'Scoring Weights'!$B$7+BA60*'Scoring Weights'!$B$8+AZ60*'Scoring Weights'!$B$9+BB60*'Scoring Weights'!$B$10)/MAX('Scoring Weights'!$B$11,1),1)</f>
        <v>57.3</v>
      </c>
      <c r="C60" s="35" t="str">
        <f aca="false">IF(AND(H60&lt;='Search Criteria'!$B$5,D60&gt;='Search Criteria'!$B$6,AQ60&lt;='Search Criteria'!$B$7,I60&lt;=INDEX('Search Criteria'!$B$18:$B$20,MATCH(E60,'Search Criteria'!$A$18:$A$20,0)),OR(NOT('Search Criteria'!$B$8),L60&lt;&gt;"FWD"),OR(NOT('Search Criteria'!$B$9),T60="Yes"),OR(NOT('Search Criteria'!$B$10),W60&gt;0),OR(NOT('Search Criteria'!$B$11),X60="Yes"),OR(NOT('Search Criteria'!$B$12),O60="GREAT",O60="GOOD"),OR(NOT('Search Criteria'!$B$13),K60="Yes")),"YES","no")</f>
        <v>no</v>
      </c>
      <c r="D60" s="33" t="n">
        <v>2025</v>
      </c>
      <c r="E60" s="8" t="s">
        <v>94</v>
      </c>
      <c r="F60" s="8" t="s">
        <v>232</v>
      </c>
      <c r="G60" s="8" t="s">
        <v>254</v>
      </c>
      <c r="H60" s="45" t="n">
        <v>37257</v>
      </c>
      <c r="I60" s="46" t="n">
        <v>25961</v>
      </c>
      <c r="J60" s="37" t="n">
        <f aca="false">IFERROR(ROUND(I60/MAX(2026-D60,0.5),0),"")</f>
        <v>25961</v>
      </c>
      <c r="K60" s="35" t="s">
        <v>259</v>
      </c>
      <c r="L60" s="35" t="s">
        <v>256</v>
      </c>
      <c r="M60" s="35" t="s">
        <v>257</v>
      </c>
      <c r="N60" s="33" t="n">
        <v>28</v>
      </c>
      <c r="O60" s="35" t="s">
        <v>276</v>
      </c>
      <c r="P60" s="45" t="n">
        <v>34251</v>
      </c>
      <c r="Q60" s="38" t="n">
        <v>-0.088</v>
      </c>
      <c r="R60" s="35" t="s">
        <v>258</v>
      </c>
      <c r="S60" s="45" t="n">
        <v>150</v>
      </c>
      <c r="T60" s="35" t="s">
        <v>255</v>
      </c>
      <c r="U60" s="33" t="n">
        <v>1</v>
      </c>
      <c r="V60" s="35" t="s">
        <v>255</v>
      </c>
      <c r="W60" s="33" t="n">
        <v>10</v>
      </c>
      <c r="X60" s="35" t="s">
        <v>255</v>
      </c>
      <c r="Y60" s="35" t="s">
        <v>255</v>
      </c>
      <c r="Z60" s="35" t="s">
        <v>259</v>
      </c>
      <c r="AA60" s="35" t="s">
        <v>255</v>
      </c>
      <c r="AB60" s="35" t="s">
        <v>255</v>
      </c>
      <c r="AC60" s="35" t="s">
        <v>255</v>
      </c>
      <c r="AD60" s="35" t="s">
        <v>255</v>
      </c>
      <c r="AE60" s="35" t="s">
        <v>259</v>
      </c>
      <c r="AF60" s="35" t="s">
        <v>259</v>
      </c>
      <c r="AG60" s="35" t="s">
        <v>255</v>
      </c>
      <c r="AH60" s="35" t="s">
        <v>255</v>
      </c>
      <c r="AI60" s="35" t="s">
        <v>255</v>
      </c>
      <c r="AJ60" s="35" t="s">
        <v>259</v>
      </c>
      <c r="AK60" s="8" t="s">
        <v>309</v>
      </c>
      <c r="AL60" s="8" t="s">
        <v>261</v>
      </c>
      <c r="AM60" s="8" t="s">
        <v>262</v>
      </c>
      <c r="AN60" s="8" t="s">
        <v>370</v>
      </c>
      <c r="AO60" s="8" t="s">
        <v>280</v>
      </c>
      <c r="AP60" s="35" t="s">
        <v>265</v>
      </c>
      <c r="AQ60" s="39" t="n">
        <v>11</v>
      </c>
      <c r="AR60" s="39" t="n">
        <v>4.2</v>
      </c>
      <c r="AS60" s="33" t="n">
        <v>47</v>
      </c>
      <c r="AT60" s="45"/>
      <c r="AU60" s="45" t="n">
        <v>665.54</v>
      </c>
      <c r="AV60" s="45" t="n">
        <v>261</v>
      </c>
      <c r="AW60" s="39" t="n">
        <v>100</v>
      </c>
      <c r="AX60" s="39" t="n">
        <v>43.4</v>
      </c>
      <c r="AY60" s="39" t="n">
        <v>44</v>
      </c>
      <c r="AZ60" s="39" t="n">
        <v>68</v>
      </c>
      <c r="BA60" s="39" t="n">
        <v>0</v>
      </c>
      <c r="BB60" s="39" t="n">
        <v>85.3</v>
      </c>
      <c r="BC60" s="8" t="s">
        <v>440</v>
      </c>
      <c r="BD60" s="47" t="s">
        <v>274</v>
      </c>
      <c r="BE60" s="41" t="s">
        <v>441</v>
      </c>
    </row>
    <row r="61" customFormat="false" ht="15" hidden="false" customHeight="false" outlineLevel="0" collapsed="false">
      <c r="A61" s="33" t="n">
        <f aca="false">RANK(B61,$B$5:$B$266)</f>
        <v>57</v>
      </c>
      <c r="B61" s="34" t="n">
        <f aca="false">ROUND((AW61*'Scoring Weights'!$B$5+AX61*'Scoring Weights'!$B$6+AY61*'Scoring Weights'!$B$7+BA61*'Scoring Weights'!$B$8+AZ61*'Scoring Weights'!$B$9+BB61*'Scoring Weights'!$B$10)/MAX('Scoring Weights'!$B$11,1),1)</f>
        <v>57.1</v>
      </c>
      <c r="C61" s="35" t="str">
        <f aca="false">IF(AND(H61&lt;='Search Criteria'!$B$5,D61&gt;='Search Criteria'!$B$6,AQ61&lt;='Search Criteria'!$B$7,I61&lt;=INDEX('Search Criteria'!$B$18:$B$20,MATCH(E61,'Search Criteria'!$A$18:$A$20,0)),OR(NOT('Search Criteria'!$B$8),L61&lt;&gt;"FWD"),OR(NOT('Search Criteria'!$B$9),T61="Yes"),OR(NOT('Search Criteria'!$B$10),W61&gt;0),OR(NOT('Search Criteria'!$B$11),X61="Yes"),OR(NOT('Search Criteria'!$B$12),O61="GREAT",O61="GOOD"),OR(NOT('Search Criteria'!$B$13),K61="Yes")),"YES","no")</f>
        <v>no</v>
      </c>
      <c r="D61" s="33" t="n">
        <v>2025</v>
      </c>
      <c r="E61" s="8" t="s">
        <v>94</v>
      </c>
      <c r="F61" s="8" t="s">
        <v>232</v>
      </c>
      <c r="G61" s="8" t="s">
        <v>268</v>
      </c>
      <c r="H61" s="45" t="n">
        <v>34261</v>
      </c>
      <c r="I61" s="46" t="n">
        <v>10604</v>
      </c>
      <c r="J61" s="37" t="n">
        <f aca="false">IFERROR(ROUND(I61/MAX(2026-D61,0.5),0),"")</f>
        <v>10604</v>
      </c>
      <c r="K61" s="35" t="s">
        <v>259</v>
      </c>
      <c r="L61" s="35" t="s">
        <v>256</v>
      </c>
      <c r="M61" s="35" t="s">
        <v>257</v>
      </c>
      <c r="N61" s="33" t="n">
        <v>28</v>
      </c>
      <c r="O61" s="35" t="s">
        <v>297</v>
      </c>
      <c r="P61" s="45" t="n">
        <v>35312</v>
      </c>
      <c r="Q61" s="38" t="n">
        <v>0.03</v>
      </c>
      <c r="R61" s="35" t="s">
        <v>258</v>
      </c>
      <c r="S61" s="45" t="n">
        <v>150</v>
      </c>
      <c r="T61" s="35" t="s">
        <v>255</v>
      </c>
      <c r="U61" s="33" t="n">
        <v>1</v>
      </c>
      <c r="V61" s="35" t="s">
        <v>255</v>
      </c>
      <c r="W61" s="33" t="n">
        <v>5</v>
      </c>
      <c r="X61" s="35" t="s">
        <v>255</v>
      </c>
      <c r="Y61" s="35" t="s">
        <v>255</v>
      </c>
      <c r="Z61" s="35" t="s">
        <v>259</v>
      </c>
      <c r="AA61" s="35" t="s">
        <v>255</v>
      </c>
      <c r="AB61" s="35" t="s">
        <v>255</v>
      </c>
      <c r="AC61" s="35" t="s">
        <v>259</v>
      </c>
      <c r="AD61" s="35" t="s">
        <v>259</v>
      </c>
      <c r="AE61" s="35" t="s">
        <v>259</v>
      </c>
      <c r="AF61" s="35" t="s">
        <v>259</v>
      </c>
      <c r="AG61" s="35" t="s">
        <v>259</v>
      </c>
      <c r="AH61" s="35" t="s">
        <v>259</v>
      </c>
      <c r="AI61" s="35" t="s">
        <v>255</v>
      </c>
      <c r="AJ61" s="35" t="s">
        <v>259</v>
      </c>
      <c r="AK61" s="8" t="s">
        <v>292</v>
      </c>
      <c r="AL61" s="8" t="s">
        <v>261</v>
      </c>
      <c r="AM61" s="8" t="s">
        <v>262</v>
      </c>
      <c r="AN61" s="8" t="s">
        <v>378</v>
      </c>
      <c r="AO61" s="8" t="s">
        <v>379</v>
      </c>
      <c r="AP61" s="35" t="s">
        <v>265</v>
      </c>
      <c r="AQ61" s="39" t="n">
        <v>46.9</v>
      </c>
      <c r="AR61" s="39" t="n">
        <v>4.7</v>
      </c>
      <c r="AS61" s="33" t="n">
        <v>10</v>
      </c>
      <c r="AT61" s="45"/>
      <c r="AU61" s="45" t="n">
        <v>612.02</v>
      </c>
      <c r="AV61" s="45" t="n">
        <v>261</v>
      </c>
      <c r="AW61" s="39" t="n">
        <v>94</v>
      </c>
      <c r="AX61" s="39" t="n">
        <v>57.2</v>
      </c>
      <c r="AY61" s="39" t="n">
        <v>77.9</v>
      </c>
      <c r="AZ61" s="39" t="n">
        <v>30</v>
      </c>
      <c r="BA61" s="39" t="n">
        <v>0</v>
      </c>
      <c r="BB61" s="39" t="n">
        <v>37.5</v>
      </c>
      <c r="BC61" s="8" t="s">
        <v>442</v>
      </c>
      <c r="BD61" s="47" t="s">
        <v>274</v>
      </c>
      <c r="BE61" s="41" t="s">
        <v>443</v>
      </c>
    </row>
    <row r="62" customFormat="false" ht="15" hidden="false" customHeight="false" outlineLevel="0" collapsed="false">
      <c r="A62" s="33" t="n">
        <f aca="false">RANK(B62,$B$5:$B$266)</f>
        <v>58</v>
      </c>
      <c r="B62" s="34" t="n">
        <f aca="false">ROUND((AW62*'Scoring Weights'!$B$5+AX62*'Scoring Weights'!$B$6+AY62*'Scoring Weights'!$B$7+BA62*'Scoring Weights'!$B$8+AZ62*'Scoring Weights'!$B$9+BB62*'Scoring Weights'!$B$10)/MAX('Scoring Weights'!$B$11,1),1)</f>
        <v>56.8</v>
      </c>
      <c r="C62" s="35" t="str">
        <f aca="false">IF(AND(H62&lt;='Search Criteria'!$B$5,D62&gt;='Search Criteria'!$B$6,AQ62&lt;='Search Criteria'!$B$7,I62&lt;=INDEX('Search Criteria'!$B$18:$B$20,MATCH(E62,'Search Criteria'!$A$18:$A$20,0)),OR(NOT('Search Criteria'!$B$8),L62&lt;&gt;"FWD"),OR(NOT('Search Criteria'!$B$9),T62="Yes"),OR(NOT('Search Criteria'!$B$10),W62&gt;0),OR(NOT('Search Criteria'!$B$11),X62="Yes"),OR(NOT('Search Criteria'!$B$12),O62="GREAT",O62="GOOD"),OR(NOT('Search Criteria'!$B$13),K62="Yes")),"YES","no")</f>
        <v>YES</v>
      </c>
      <c r="D62" s="33" t="n">
        <v>2025</v>
      </c>
      <c r="E62" s="8" t="s">
        <v>92</v>
      </c>
      <c r="F62" s="8" t="s">
        <v>236</v>
      </c>
      <c r="G62" s="8" t="s">
        <v>296</v>
      </c>
      <c r="H62" s="45" t="n">
        <v>36395</v>
      </c>
      <c r="I62" s="46" t="n">
        <v>11639</v>
      </c>
      <c r="J62" s="37" t="n">
        <f aca="false">IFERROR(ROUND(I62/MAX(2026-D62,0.5),0),"")</f>
        <v>11639</v>
      </c>
      <c r="K62" s="35" t="s">
        <v>259</v>
      </c>
      <c r="L62" s="35" t="s">
        <v>256</v>
      </c>
      <c r="M62" s="35" t="s">
        <v>257</v>
      </c>
      <c r="N62" s="33" t="n">
        <v>28</v>
      </c>
      <c r="O62" s="35" t="s">
        <v>286</v>
      </c>
      <c r="P62" s="45" t="n">
        <v>36242</v>
      </c>
      <c r="Q62" s="38" t="n">
        <v>-0.004</v>
      </c>
      <c r="R62" s="35" t="s">
        <v>258</v>
      </c>
      <c r="S62" s="45" t="n">
        <v>280</v>
      </c>
      <c r="T62" s="35" t="s">
        <v>255</v>
      </c>
      <c r="U62" s="33" t="n">
        <v>2</v>
      </c>
      <c r="V62" s="35" t="s">
        <v>259</v>
      </c>
      <c r="W62" s="33" t="n">
        <v>3</v>
      </c>
      <c r="X62" s="35" t="s">
        <v>255</v>
      </c>
      <c r="Y62" s="35" t="s">
        <v>255</v>
      </c>
      <c r="Z62" s="35" t="s">
        <v>255</v>
      </c>
      <c r="AA62" s="35" t="s">
        <v>255</v>
      </c>
      <c r="AB62" s="35" t="s">
        <v>255</v>
      </c>
      <c r="AC62" s="35" t="s">
        <v>255</v>
      </c>
      <c r="AD62" s="35" t="s">
        <v>259</v>
      </c>
      <c r="AE62" s="35" t="s">
        <v>259</v>
      </c>
      <c r="AF62" s="35" t="s">
        <v>259</v>
      </c>
      <c r="AG62" s="35" t="s">
        <v>259</v>
      </c>
      <c r="AH62" s="35" t="s">
        <v>259</v>
      </c>
      <c r="AI62" s="35" t="s">
        <v>255</v>
      </c>
      <c r="AJ62" s="35" t="s">
        <v>259</v>
      </c>
      <c r="AK62" s="8" t="s">
        <v>358</v>
      </c>
      <c r="AL62" s="8" t="s">
        <v>260</v>
      </c>
      <c r="AM62" s="8" t="s">
        <v>278</v>
      </c>
      <c r="AN62" s="8" t="s">
        <v>335</v>
      </c>
      <c r="AO62" s="8" t="s">
        <v>321</v>
      </c>
      <c r="AP62" s="35" t="s">
        <v>272</v>
      </c>
      <c r="AQ62" s="39" t="n">
        <v>56.8</v>
      </c>
      <c r="AR62" s="39" t="n">
        <v>4.6</v>
      </c>
      <c r="AS62" s="33" t="n">
        <v>2</v>
      </c>
      <c r="AT62" s="45"/>
      <c r="AU62" s="45" t="n">
        <v>650.14</v>
      </c>
      <c r="AV62" s="45" t="n">
        <v>345</v>
      </c>
      <c r="AW62" s="39" t="n">
        <v>77.2</v>
      </c>
      <c r="AX62" s="39" t="n">
        <v>64.8</v>
      </c>
      <c r="AY62" s="39" t="n">
        <v>77.8</v>
      </c>
      <c r="AZ62" s="39" t="n">
        <v>52</v>
      </c>
      <c r="BA62" s="39" t="n">
        <v>0</v>
      </c>
      <c r="BB62" s="39" t="n">
        <v>24.2</v>
      </c>
      <c r="BC62" s="8" t="s">
        <v>444</v>
      </c>
      <c r="BD62" s="47" t="s">
        <v>290</v>
      </c>
      <c r="BE62" s="41" t="s">
        <v>176</v>
      </c>
    </row>
    <row r="63" customFormat="false" ht="15" hidden="false" customHeight="false" outlineLevel="0" collapsed="false">
      <c r="A63" s="33" t="n">
        <f aca="false">RANK(B63,$B$5:$B$266)</f>
        <v>58</v>
      </c>
      <c r="B63" s="34" t="n">
        <f aca="false">ROUND((AW63*'Scoring Weights'!$B$5+AX63*'Scoring Weights'!$B$6+AY63*'Scoring Weights'!$B$7+BA63*'Scoring Weights'!$B$8+AZ63*'Scoring Weights'!$B$9+BB63*'Scoring Weights'!$B$10)/MAX('Scoring Weights'!$B$11,1),1)</f>
        <v>56.8</v>
      </c>
      <c r="C63" s="35" t="str">
        <f aca="false">IF(AND(H63&lt;='Search Criteria'!$B$5,D63&gt;='Search Criteria'!$B$6,AQ63&lt;='Search Criteria'!$B$7,I63&lt;=INDEX('Search Criteria'!$B$18:$B$20,MATCH(E63,'Search Criteria'!$A$18:$A$20,0)),OR(NOT('Search Criteria'!$B$8),L63&lt;&gt;"FWD"),OR(NOT('Search Criteria'!$B$9),T63="Yes"),OR(NOT('Search Criteria'!$B$10),W63&gt;0),OR(NOT('Search Criteria'!$B$11),X63="Yes"),OR(NOT('Search Criteria'!$B$12),O63="GREAT",O63="GOOD"),OR(NOT('Search Criteria'!$B$13),K63="Yes")),"YES","no")</f>
        <v>no</v>
      </c>
      <c r="D63" s="33" t="n">
        <v>2025</v>
      </c>
      <c r="E63" s="8" t="s">
        <v>94</v>
      </c>
      <c r="F63" s="8" t="s">
        <v>232</v>
      </c>
      <c r="G63" s="8" t="s">
        <v>319</v>
      </c>
      <c r="H63" s="45" t="n">
        <v>29024</v>
      </c>
      <c r="I63" s="46" t="n">
        <v>19038</v>
      </c>
      <c r="J63" s="37" t="n">
        <f aca="false">IFERROR(ROUND(I63/MAX(2026-D63,0.5),0),"")</f>
        <v>19038</v>
      </c>
      <c r="K63" s="35" t="s">
        <v>259</v>
      </c>
      <c r="L63" s="35" t="s">
        <v>256</v>
      </c>
      <c r="M63" s="35" t="s">
        <v>257</v>
      </c>
      <c r="N63" s="33" t="n">
        <v>28</v>
      </c>
      <c r="O63" s="35" t="s">
        <v>258</v>
      </c>
      <c r="P63" s="45" t="n">
        <v>34730</v>
      </c>
      <c r="Q63" s="38" t="n">
        <v>0.164</v>
      </c>
      <c r="R63" s="35" t="s">
        <v>258</v>
      </c>
      <c r="S63" s="45" t="n">
        <v>400</v>
      </c>
      <c r="T63" s="35" t="s">
        <v>255</v>
      </c>
      <c r="U63" s="33" t="n">
        <v>2</v>
      </c>
      <c r="V63" s="35" t="s">
        <v>259</v>
      </c>
      <c r="W63" s="33" t="n">
        <v>7</v>
      </c>
      <c r="X63" s="35" t="s">
        <v>259</v>
      </c>
      <c r="Y63" s="35" t="s">
        <v>255</v>
      </c>
      <c r="Z63" s="35" t="s">
        <v>259</v>
      </c>
      <c r="AA63" s="35" t="s">
        <v>259</v>
      </c>
      <c r="AB63" s="35" t="s">
        <v>259</v>
      </c>
      <c r="AC63" s="35" t="s">
        <v>259</v>
      </c>
      <c r="AD63" s="35" t="s">
        <v>259</v>
      </c>
      <c r="AE63" s="35" t="s">
        <v>259</v>
      </c>
      <c r="AF63" s="35" t="s">
        <v>259</v>
      </c>
      <c r="AG63" s="35" t="s">
        <v>259</v>
      </c>
      <c r="AH63" s="35" t="s">
        <v>259</v>
      </c>
      <c r="AI63" s="35" t="s">
        <v>259</v>
      </c>
      <c r="AJ63" s="35" t="s">
        <v>259</v>
      </c>
      <c r="AK63" s="8" t="s">
        <v>261</v>
      </c>
      <c r="AL63" s="8" t="s">
        <v>261</v>
      </c>
      <c r="AM63" s="8" t="s">
        <v>262</v>
      </c>
      <c r="AN63" s="8" t="s">
        <v>279</v>
      </c>
      <c r="AO63" s="8" t="s">
        <v>280</v>
      </c>
      <c r="AP63" s="35" t="s">
        <v>265</v>
      </c>
      <c r="AQ63" s="39" t="n">
        <v>10.8</v>
      </c>
      <c r="AR63" s="39" t="n">
        <v>4.5</v>
      </c>
      <c r="AS63" s="33" t="n">
        <v>21</v>
      </c>
      <c r="AT63" s="45"/>
      <c r="AU63" s="45" t="n">
        <v>518.47</v>
      </c>
      <c r="AV63" s="45" t="n">
        <v>261</v>
      </c>
      <c r="AW63" s="39" t="n">
        <v>82</v>
      </c>
      <c r="AX63" s="39" t="n">
        <v>100</v>
      </c>
      <c r="AY63" s="39" t="n">
        <v>51</v>
      </c>
      <c r="AZ63" s="39" t="n">
        <v>0</v>
      </c>
      <c r="BA63" s="39" t="n">
        <v>0</v>
      </c>
      <c r="BB63" s="39" t="n">
        <v>85.6</v>
      </c>
      <c r="BC63" s="8" t="s">
        <v>445</v>
      </c>
      <c r="BD63" s="47" t="s">
        <v>274</v>
      </c>
      <c r="BE63" s="41" t="s">
        <v>446</v>
      </c>
    </row>
    <row r="64" customFormat="false" ht="15" hidden="false" customHeight="false" outlineLevel="0" collapsed="false">
      <c r="A64" s="33" t="n">
        <f aca="false">RANK(B64,$B$5:$B$266)</f>
        <v>60</v>
      </c>
      <c r="B64" s="34" t="n">
        <f aca="false">ROUND((AW64*'Scoring Weights'!$B$5+AX64*'Scoring Weights'!$B$6+AY64*'Scoring Weights'!$B$7+BA64*'Scoring Weights'!$B$8+AZ64*'Scoring Weights'!$B$9+BB64*'Scoring Weights'!$B$10)/MAX('Scoring Weights'!$B$11,1),1)</f>
        <v>56.6</v>
      </c>
      <c r="C64" s="35" t="str">
        <f aca="false">IF(AND(H64&lt;='Search Criteria'!$B$5,D64&gt;='Search Criteria'!$B$6,AQ64&lt;='Search Criteria'!$B$7,I64&lt;=INDEX('Search Criteria'!$B$18:$B$20,MATCH(E64,'Search Criteria'!$A$18:$A$20,0)),OR(NOT('Search Criteria'!$B$8),L64&lt;&gt;"FWD"),OR(NOT('Search Criteria'!$B$9),T64="Yes"),OR(NOT('Search Criteria'!$B$10),W64&gt;0),OR(NOT('Search Criteria'!$B$11),X64="Yes"),OR(NOT('Search Criteria'!$B$12),O64="GREAT",O64="GOOD"),OR(NOT('Search Criteria'!$B$13),K64="Yes")),"YES","no")</f>
        <v>YES</v>
      </c>
      <c r="D64" s="33" t="n">
        <v>2023</v>
      </c>
      <c r="E64" s="8" t="s">
        <v>94</v>
      </c>
      <c r="F64" s="8" t="s">
        <v>232</v>
      </c>
      <c r="G64" s="8" t="s">
        <v>268</v>
      </c>
      <c r="H64" s="45" t="n">
        <v>29982</v>
      </c>
      <c r="I64" s="46" t="n">
        <v>34721</v>
      </c>
      <c r="J64" s="37" t="n">
        <f aca="false">IFERROR(ROUND(I64/MAX(2026-D64,0.5),0),"")</f>
        <v>11574</v>
      </c>
      <c r="K64" s="35" t="s">
        <v>259</v>
      </c>
      <c r="L64" s="35" t="s">
        <v>256</v>
      </c>
      <c r="M64" s="35" t="s">
        <v>257</v>
      </c>
      <c r="N64" s="33" t="n">
        <v>29</v>
      </c>
      <c r="O64" s="35" t="s">
        <v>286</v>
      </c>
      <c r="P64" s="45" t="n">
        <v>31370</v>
      </c>
      <c r="Q64" s="38" t="n">
        <v>0.044</v>
      </c>
      <c r="R64" s="35" t="s">
        <v>258</v>
      </c>
      <c r="S64" s="45" t="n">
        <v>320</v>
      </c>
      <c r="T64" s="35" t="s">
        <v>255</v>
      </c>
      <c r="U64" s="33" t="n">
        <v>2</v>
      </c>
      <c r="V64" s="35" t="s">
        <v>255</v>
      </c>
      <c r="W64" s="33" t="n">
        <v>9</v>
      </c>
      <c r="X64" s="35" t="s">
        <v>255</v>
      </c>
      <c r="Y64" s="35" t="s">
        <v>255</v>
      </c>
      <c r="Z64" s="35" t="s">
        <v>259</v>
      </c>
      <c r="AA64" s="35" t="s">
        <v>255</v>
      </c>
      <c r="AB64" s="35" t="s">
        <v>255</v>
      </c>
      <c r="AC64" s="35" t="s">
        <v>259</v>
      </c>
      <c r="AD64" s="35" t="s">
        <v>259</v>
      </c>
      <c r="AE64" s="35" t="s">
        <v>259</v>
      </c>
      <c r="AF64" s="35" t="s">
        <v>259</v>
      </c>
      <c r="AG64" s="35" t="s">
        <v>259</v>
      </c>
      <c r="AH64" s="35" t="s">
        <v>259</v>
      </c>
      <c r="AI64" s="35" t="s">
        <v>255</v>
      </c>
      <c r="AJ64" s="35" t="s">
        <v>259</v>
      </c>
      <c r="AK64" s="8" t="s">
        <v>269</v>
      </c>
      <c r="AL64" s="8" t="s">
        <v>261</v>
      </c>
      <c r="AM64" s="8" t="s">
        <v>262</v>
      </c>
      <c r="AN64" s="8" t="s">
        <v>447</v>
      </c>
      <c r="AO64" s="8" t="s">
        <v>448</v>
      </c>
      <c r="AP64" s="35" t="s">
        <v>265</v>
      </c>
      <c r="AQ64" s="39" t="n">
        <v>15.4</v>
      </c>
      <c r="AR64" s="39" t="n">
        <v>4.1</v>
      </c>
      <c r="AS64" s="33" t="n">
        <v>46</v>
      </c>
      <c r="AT64" s="45"/>
      <c r="AU64" s="45" t="n">
        <v>535.59</v>
      </c>
      <c r="AV64" s="45" t="n">
        <v>250</v>
      </c>
      <c r="AW64" s="39" t="n">
        <v>90</v>
      </c>
      <c r="AX64" s="39" t="n">
        <v>72</v>
      </c>
      <c r="AY64" s="39" t="n">
        <v>51.3</v>
      </c>
      <c r="AZ64" s="39" t="n">
        <v>30</v>
      </c>
      <c r="BA64" s="39" t="n">
        <v>0</v>
      </c>
      <c r="BB64" s="39" t="n">
        <v>79.5</v>
      </c>
      <c r="BC64" s="8" t="s">
        <v>449</v>
      </c>
      <c r="BD64" s="47" t="s">
        <v>330</v>
      </c>
      <c r="BE64" s="41" t="s">
        <v>178</v>
      </c>
    </row>
    <row r="65" customFormat="false" ht="15" hidden="false" customHeight="false" outlineLevel="0" collapsed="false">
      <c r="A65" s="33" t="n">
        <f aca="false">RANK(B65,$B$5:$B$266)</f>
        <v>60</v>
      </c>
      <c r="B65" s="34" t="n">
        <f aca="false">ROUND((AW65*'Scoring Weights'!$B$5+AX65*'Scoring Weights'!$B$6+AY65*'Scoring Weights'!$B$7+BA65*'Scoring Weights'!$B$8+AZ65*'Scoring Weights'!$B$9+BB65*'Scoring Weights'!$B$10)/MAX('Scoring Weights'!$B$11,1),1)</f>
        <v>56.6</v>
      </c>
      <c r="C65" s="35" t="str">
        <f aca="false">IF(AND(H65&lt;='Search Criteria'!$B$5,D65&gt;='Search Criteria'!$B$6,AQ65&lt;='Search Criteria'!$B$7,I65&lt;=INDEX('Search Criteria'!$B$18:$B$20,MATCH(E65,'Search Criteria'!$A$18:$A$20,0)),OR(NOT('Search Criteria'!$B$8),L65&lt;&gt;"FWD"),OR(NOT('Search Criteria'!$B$9),T65="Yes"),OR(NOT('Search Criteria'!$B$10),W65&gt;0),OR(NOT('Search Criteria'!$B$11),X65="Yes"),OR(NOT('Search Criteria'!$B$12),O65="GREAT",O65="GOOD"),OR(NOT('Search Criteria'!$B$13),K65="Yes")),"YES","no")</f>
        <v>no</v>
      </c>
      <c r="D65" s="33" t="n">
        <v>2023</v>
      </c>
      <c r="E65" s="8" t="s">
        <v>92</v>
      </c>
      <c r="F65" s="8" t="s">
        <v>236</v>
      </c>
      <c r="G65" s="8" t="s">
        <v>338</v>
      </c>
      <c r="H65" s="45" t="n">
        <v>28997</v>
      </c>
      <c r="I65" s="46" t="n">
        <v>37013</v>
      </c>
      <c r="J65" s="37" t="n">
        <f aca="false">IFERROR(ROUND(I65/MAX(2026-D65,0.5),0),"")</f>
        <v>12338</v>
      </c>
      <c r="K65" s="35" t="s">
        <v>259</v>
      </c>
      <c r="L65" s="35" t="s">
        <v>256</v>
      </c>
      <c r="M65" s="35" t="s">
        <v>257</v>
      </c>
      <c r="N65" s="33" t="n">
        <v>30</v>
      </c>
      <c r="O65" s="35" t="s">
        <v>286</v>
      </c>
      <c r="P65" s="45" t="n">
        <v>31828</v>
      </c>
      <c r="Q65" s="38" t="n">
        <v>0.089</v>
      </c>
      <c r="R65" s="35" t="s">
        <v>258</v>
      </c>
      <c r="S65" s="45" t="n">
        <v>440</v>
      </c>
      <c r="T65" s="35" t="s">
        <v>255</v>
      </c>
      <c r="U65" s="33" t="n">
        <v>1</v>
      </c>
      <c r="V65" s="35" t="s">
        <v>255</v>
      </c>
      <c r="W65" s="33" t="n">
        <v>9</v>
      </c>
      <c r="X65" s="35" t="s">
        <v>259</v>
      </c>
      <c r="Y65" s="35" t="s">
        <v>255</v>
      </c>
      <c r="Z65" s="35" t="s">
        <v>259</v>
      </c>
      <c r="AA65" s="35" t="s">
        <v>259</v>
      </c>
      <c r="AB65" s="35" t="s">
        <v>259</v>
      </c>
      <c r="AC65" s="35" t="s">
        <v>259</v>
      </c>
      <c r="AD65" s="35" t="s">
        <v>259</v>
      </c>
      <c r="AE65" s="35" t="s">
        <v>259</v>
      </c>
      <c r="AF65" s="35" t="s">
        <v>259</v>
      </c>
      <c r="AG65" s="35" t="s">
        <v>259</v>
      </c>
      <c r="AH65" s="35" t="s">
        <v>259</v>
      </c>
      <c r="AI65" s="35" t="s">
        <v>259</v>
      </c>
      <c r="AJ65" s="35" t="s">
        <v>259</v>
      </c>
      <c r="AK65" s="8" t="s">
        <v>260</v>
      </c>
      <c r="AL65" s="8" t="s">
        <v>260</v>
      </c>
      <c r="AM65" s="8" t="s">
        <v>278</v>
      </c>
      <c r="AN65" s="8" t="s">
        <v>333</v>
      </c>
      <c r="AO65" s="8" t="s">
        <v>280</v>
      </c>
      <c r="AP65" s="35" t="s">
        <v>265</v>
      </c>
      <c r="AQ65" s="39" t="n">
        <v>11.1</v>
      </c>
      <c r="AR65" s="39" t="n">
        <v>4.7</v>
      </c>
      <c r="AS65" s="33" t="n">
        <v>31</v>
      </c>
      <c r="AT65" s="45" t="n">
        <v>252</v>
      </c>
      <c r="AU65" s="45" t="n">
        <v>517.99</v>
      </c>
      <c r="AV65" s="45" t="n">
        <v>250</v>
      </c>
      <c r="AW65" s="39" t="n">
        <v>94.6</v>
      </c>
      <c r="AX65" s="39" t="n">
        <v>78.7</v>
      </c>
      <c r="AY65" s="39" t="n">
        <v>58.2</v>
      </c>
      <c r="AZ65" s="39" t="n">
        <v>0</v>
      </c>
      <c r="BA65" s="39" t="n">
        <v>0</v>
      </c>
      <c r="BB65" s="39" t="n">
        <v>85.2</v>
      </c>
      <c r="BC65" s="8" t="s">
        <v>450</v>
      </c>
      <c r="BD65" s="47" t="s">
        <v>451</v>
      </c>
      <c r="BE65" s="41" t="s">
        <v>452</v>
      </c>
    </row>
    <row r="66" customFormat="false" ht="15" hidden="false" customHeight="false" outlineLevel="0" collapsed="false">
      <c r="A66" s="33" t="n">
        <f aca="false">RANK(B66,$B$5:$B$266)</f>
        <v>62</v>
      </c>
      <c r="B66" s="34" t="n">
        <f aca="false">ROUND((AW66*'Scoring Weights'!$B$5+AX66*'Scoring Weights'!$B$6+AY66*'Scoring Weights'!$B$7+BA66*'Scoring Weights'!$B$8+AZ66*'Scoring Weights'!$B$9+BB66*'Scoring Weights'!$B$10)/MAX('Scoring Weights'!$B$11,1),1)</f>
        <v>56.4</v>
      </c>
      <c r="C66" s="35" t="str">
        <f aca="false">IF(AND(H66&lt;='Search Criteria'!$B$5,D66&gt;='Search Criteria'!$B$6,AQ66&lt;='Search Criteria'!$B$7,I66&lt;=INDEX('Search Criteria'!$B$18:$B$20,MATCH(E66,'Search Criteria'!$A$18:$A$20,0)),OR(NOT('Search Criteria'!$B$8),L66&lt;&gt;"FWD"),OR(NOT('Search Criteria'!$B$9),T66="Yes"),OR(NOT('Search Criteria'!$B$10),W66&gt;0),OR(NOT('Search Criteria'!$B$11),X66="Yes"),OR(NOT('Search Criteria'!$B$12),O66="GREAT",O66="GOOD"),OR(NOT('Search Criteria'!$B$13),K66="Yes")),"YES","no")</f>
        <v>no</v>
      </c>
      <c r="D66" s="33" t="n">
        <v>2024</v>
      </c>
      <c r="E66" s="8" t="s">
        <v>92</v>
      </c>
      <c r="F66" s="8" t="s">
        <v>236</v>
      </c>
      <c r="G66" s="8" t="s">
        <v>453</v>
      </c>
      <c r="H66" s="45" t="n">
        <v>36999</v>
      </c>
      <c r="I66" s="46" t="n">
        <v>34190</v>
      </c>
      <c r="J66" s="37" t="n">
        <f aca="false">IFERROR(ROUND(I66/MAX(2026-D66,0.5),0),"")</f>
        <v>17095</v>
      </c>
      <c r="K66" s="35" t="s">
        <v>259</v>
      </c>
      <c r="L66" s="35" t="s">
        <v>256</v>
      </c>
      <c r="M66" s="35" t="s">
        <v>302</v>
      </c>
      <c r="N66" s="33" t="n">
        <v>39</v>
      </c>
      <c r="O66" s="35" t="s">
        <v>276</v>
      </c>
      <c r="P66" s="45" t="n">
        <v>33248</v>
      </c>
      <c r="Q66" s="38" t="n">
        <v>-0.113</v>
      </c>
      <c r="R66" s="35" t="s">
        <v>277</v>
      </c>
      <c r="S66" s="45"/>
      <c r="T66" s="35" t="s">
        <v>255</v>
      </c>
      <c r="U66" s="33" t="n">
        <v>1</v>
      </c>
      <c r="V66" s="35" t="s">
        <v>255</v>
      </c>
      <c r="W66" s="33" t="n">
        <v>8</v>
      </c>
      <c r="X66" s="35" t="s">
        <v>255</v>
      </c>
      <c r="Y66" s="35" t="s">
        <v>255</v>
      </c>
      <c r="Z66" s="35" t="s">
        <v>255</v>
      </c>
      <c r="AA66" s="35" t="s">
        <v>255</v>
      </c>
      <c r="AB66" s="35" t="s">
        <v>255</v>
      </c>
      <c r="AC66" s="35" t="s">
        <v>255</v>
      </c>
      <c r="AD66" s="35" t="s">
        <v>255</v>
      </c>
      <c r="AE66" s="35" t="s">
        <v>259</v>
      </c>
      <c r="AF66" s="35" t="s">
        <v>255</v>
      </c>
      <c r="AG66" s="35" t="s">
        <v>255</v>
      </c>
      <c r="AH66" s="35" t="s">
        <v>255</v>
      </c>
      <c r="AI66" s="35" t="s">
        <v>255</v>
      </c>
      <c r="AJ66" s="35" t="s">
        <v>255</v>
      </c>
      <c r="AK66" s="8" t="s">
        <v>292</v>
      </c>
      <c r="AL66" s="8" t="s">
        <v>261</v>
      </c>
      <c r="AM66" s="8" t="s">
        <v>278</v>
      </c>
      <c r="AN66" s="8" t="s">
        <v>304</v>
      </c>
      <c r="AO66" s="8" t="s">
        <v>305</v>
      </c>
      <c r="AP66" s="35" t="s">
        <v>265</v>
      </c>
      <c r="AQ66" s="39" t="n">
        <v>59.4</v>
      </c>
      <c r="AR66" s="39" t="n">
        <v>4.4</v>
      </c>
      <c r="AS66" s="33" t="n">
        <v>13</v>
      </c>
      <c r="AT66" s="45" t="n">
        <v>1800</v>
      </c>
      <c r="AU66" s="45" t="n">
        <v>660.93</v>
      </c>
      <c r="AV66" s="45"/>
      <c r="AW66" s="39" t="n">
        <v>97.6</v>
      </c>
      <c r="AX66" s="39" t="n">
        <v>39.7</v>
      </c>
      <c r="AY66" s="39" t="n">
        <v>48.3</v>
      </c>
      <c r="AZ66" s="39" t="n">
        <v>90</v>
      </c>
      <c r="BA66" s="39" t="n">
        <v>0</v>
      </c>
      <c r="BB66" s="39" t="n">
        <v>20.8</v>
      </c>
      <c r="BC66" s="8" t="s">
        <v>454</v>
      </c>
      <c r="BD66" s="47" t="s">
        <v>346</v>
      </c>
      <c r="BE66" s="41" t="s">
        <v>455</v>
      </c>
    </row>
    <row r="67" customFormat="false" ht="15" hidden="false" customHeight="false" outlineLevel="0" collapsed="false">
      <c r="A67" s="33" t="n">
        <f aca="false">RANK(B67,$B$5:$B$266)</f>
        <v>63</v>
      </c>
      <c r="B67" s="34" t="n">
        <f aca="false">ROUND((AW67*'Scoring Weights'!$B$5+AX67*'Scoring Weights'!$B$6+AY67*'Scoring Weights'!$B$7+BA67*'Scoring Weights'!$B$8+AZ67*'Scoring Weights'!$B$9+BB67*'Scoring Weights'!$B$10)/MAX('Scoring Weights'!$B$11,1),1)</f>
        <v>56.3</v>
      </c>
      <c r="C67" s="35" t="str">
        <f aca="false">IF(AND(H67&lt;='Search Criteria'!$B$5,D67&gt;='Search Criteria'!$B$6,AQ67&lt;='Search Criteria'!$B$7,I67&lt;=INDEX('Search Criteria'!$B$18:$B$20,MATCH(E67,'Search Criteria'!$A$18:$A$20,0)),OR(NOT('Search Criteria'!$B$8),L67&lt;&gt;"FWD"),OR(NOT('Search Criteria'!$B$9),T67="Yes"),OR(NOT('Search Criteria'!$B$10),W67&gt;0),OR(NOT('Search Criteria'!$B$11),X67="Yes"),OR(NOT('Search Criteria'!$B$12),O67="GREAT",O67="GOOD"),OR(NOT('Search Criteria'!$B$13),K67="Yes")),"YES","no")</f>
        <v>no</v>
      </c>
      <c r="D67" s="33" t="n">
        <v>2023</v>
      </c>
      <c r="E67" s="8" t="s">
        <v>94</v>
      </c>
      <c r="F67" s="8" t="s">
        <v>232</v>
      </c>
      <c r="G67" s="8" t="s">
        <v>254</v>
      </c>
      <c r="H67" s="45" t="n">
        <v>32156</v>
      </c>
      <c r="I67" s="46" t="n">
        <v>36006</v>
      </c>
      <c r="J67" s="37" t="n">
        <f aca="false">IFERROR(ROUND(I67/MAX(2026-D67,0.5),0),"")</f>
        <v>12002</v>
      </c>
      <c r="K67" s="35" t="s">
        <v>259</v>
      </c>
      <c r="L67" s="35" t="s">
        <v>256</v>
      </c>
      <c r="M67" s="35" t="s">
        <v>257</v>
      </c>
      <c r="N67" s="33" t="n">
        <v>29</v>
      </c>
      <c r="O67" s="35" t="s">
        <v>286</v>
      </c>
      <c r="P67" s="45" t="n">
        <v>31281</v>
      </c>
      <c r="Q67" s="38" t="n">
        <v>-0.028</v>
      </c>
      <c r="R67" s="35" t="s">
        <v>258</v>
      </c>
      <c r="S67" s="45" t="n">
        <v>490</v>
      </c>
      <c r="T67" s="35" t="s">
        <v>259</v>
      </c>
      <c r="U67" s="33" t="n">
        <v>2</v>
      </c>
      <c r="V67" s="35" t="s">
        <v>255</v>
      </c>
      <c r="W67" s="33" t="n">
        <v>7</v>
      </c>
      <c r="X67" s="35" t="s">
        <v>255</v>
      </c>
      <c r="Y67" s="35" t="s">
        <v>255</v>
      </c>
      <c r="Z67" s="35" t="s">
        <v>259</v>
      </c>
      <c r="AA67" s="35" t="s">
        <v>255</v>
      </c>
      <c r="AB67" s="35" t="s">
        <v>255</v>
      </c>
      <c r="AC67" s="35" t="s">
        <v>255</v>
      </c>
      <c r="AD67" s="35" t="s">
        <v>255</v>
      </c>
      <c r="AE67" s="35" t="s">
        <v>255</v>
      </c>
      <c r="AF67" s="35" t="s">
        <v>259</v>
      </c>
      <c r="AG67" s="35" t="s">
        <v>255</v>
      </c>
      <c r="AH67" s="35" t="s">
        <v>255</v>
      </c>
      <c r="AI67" s="35" t="s">
        <v>255</v>
      </c>
      <c r="AJ67" s="35" t="s">
        <v>259</v>
      </c>
      <c r="AK67" s="8" t="s">
        <v>292</v>
      </c>
      <c r="AL67" s="8" t="s">
        <v>260</v>
      </c>
      <c r="AM67" s="8" t="s">
        <v>262</v>
      </c>
      <c r="AN67" s="8" t="s">
        <v>263</v>
      </c>
      <c r="AO67" s="8" t="s">
        <v>264</v>
      </c>
      <c r="AP67" s="35" t="s">
        <v>265</v>
      </c>
      <c r="AQ67" s="39" t="n">
        <v>0.4</v>
      </c>
      <c r="AR67" s="39" t="n">
        <v>4.6</v>
      </c>
      <c r="AS67" s="33" t="n">
        <v>2</v>
      </c>
      <c r="AT67" s="45"/>
      <c r="AU67" s="45" t="n">
        <v>574.42</v>
      </c>
      <c r="AV67" s="45" t="n">
        <v>261</v>
      </c>
      <c r="AW67" s="39" t="n">
        <v>69.8</v>
      </c>
      <c r="AX67" s="39" t="n">
        <v>61.2</v>
      </c>
      <c r="AY67" s="39" t="n">
        <v>49</v>
      </c>
      <c r="AZ67" s="39" t="n">
        <v>78</v>
      </c>
      <c r="BA67" s="39" t="n">
        <v>0</v>
      </c>
      <c r="BB67" s="39" t="n">
        <v>99.4</v>
      </c>
      <c r="BC67" s="8" t="s">
        <v>456</v>
      </c>
      <c r="BD67" s="47" t="s">
        <v>330</v>
      </c>
      <c r="BE67" s="41" t="s">
        <v>457</v>
      </c>
    </row>
    <row r="68" customFormat="false" ht="15" hidden="false" customHeight="false" outlineLevel="0" collapsed="false">
      <c r="A68" s="33" t="n">
        <f aca="false">RANK(B68,$B$5:$B$266)</f>
        <v>64</v>
      </c>
      <c r="B68" s="34" t="n">
        <f aca="false">ROUND((AW68*'Scoring Weights'!$B$5+AX68*'Scoring Weights'!$B$6+AY68*'Scoring Weights'!$B$7+BA68*'Scoring Weights'!$B$8+AZ68*'Scoring Weights'!$B$9+BB68*'Scoring Weights'!$B$10)/MAX('Scoring Weights'!$B$11,1),1)</f>
        <v>56</v>
      </c>
      <c r="C68" s="35" t="str">
        <f aca="false">IF(AND(H68&lt;='Search Criteria'!$B$5,D68&gt;='Search Criteria'!$B$6,AQ68&lt;='Search Criteria'!$B$7,I68&lt;=INDEX('Search Criteria'!$B$18:$B$20,MATCH(E68,'Search Criteria'!$A$18:$A$20,0)),OR(NOT('Search Criteria'!$B$8),L68&lt;&gt;"FWD"),OR(NOT('Search Criteria'!$B$9),T68="Yes"),OR(NOT('Search Criteria'!$B$10),W68&gt;0),OR(NOT('Search Criteria'!$B$11),X68="Yes"),OR(NOT('Search Criteria'!$B$12),O68="GREAT",O68="GOOD"),OR(NOT('Search Criteria'!$B$13),K68="Yes")),"YES","no")</f>
        <v>no</v>
      </c>
      <c r="D68" s="33" t="n">
        <v>2024</v>
      </c>
      <c r="E68" s="8" t="s">
        <v>92</v>
      </c>
      <c r="F68" s="8" t="s">
        <v>236</v>
      </c>
      <c r="G68" s="8" t="s">
        <v>338</v>
      </c>
      <c r="H68" s="45" t="n">
        <v>33250</v>
      </c>
      <c r="I68" s="46" t="n">
        <v>21761</v>
      </c>
      <c r="J68" s="37" t="n">
        <f aca="false">IFERROR(ROUND(I68/MAX(2026-D68,0.5),0),"")</f>
        <v>10881</v>
      </c>
      <c r="K68" s="35" t="s">
        <v>259</v>
      </c>
      <c r="L68" s="35" t="s">
        <v>256</v>
      </c>
      <c r="M68" s="35" t="s">
        <v>302</v>
      </c>
      <c r="N68" s="33" t="n">
        <v>39</v>
      </c>
      <c r="O68" s="35" t="s">
        <v>258</v>
      </c>
      <c r="P68" s="45" t="n">
        <v>34240</v>
      </c>
      <c r="Q68" s="38" t="n">
        <v>0.029</v>
      </c>
      <c r="R68" s="35" t="s">
        <v>258</v>
      </c>
      <c r="S68" s="45" t="n">
        <v>700</v>
      </c>
      <c r="T68" s="35" t="s">
        <v>255</v>
      </c>
      <c r="U68" s="33" t="n">
        <v>1</v>
      </c>
      <c r="V68" s="35" t="s">
        <v>259</v>
      </c>
      <c r="W68" s="33" t="n">
        <v>6</v>
      </c>
      <c r="X68" s="35" t="s">
        <v>259</v>
      </c>
      <c r="Y68" s="35" t="s">
        <v>255</v>
      </c>
      <c r="Z68" s="35" t="s">
        <v>259</v>
      </c>
      <c r="AA68" s="35" t="s">
        <v>259</v>
      </c>
      <c r="AB68" s="35" t="s">
        <v>255</v>
      </c>
      <c r="AC68" s="35" t="s">
        <v>259</v>
      </c>
      <c r="AD68" s="35" t="s">
        <v>259</v>
      </c>
      <c r="AE68" s="35" t="s">
        <v>259</v>
      </c>
      <c r="AF68" s="35" t="s">
        <v>259</v>
      </c>
      <c r="AG68" s="35" t="s">
        <v>259</v>
      </c>
      <c r="AH68" s="35" t="s">
        <v>259</v>
      </c>
      <c r="AI68" s="35" t="s">
        <v>259</v>
      </c>
      <c r="AJ68" s="35" t="s">
        <v>259</v>
      </c>
      <c r="AK68" s="8" t="s">
        <v>358</v>
      </c>
      <c r="AL68" s="8" t="s">
        <v>261</v>
      </c>
      <c r="AM68" s="8" t="s">
        <v>278</v>
      </c>
      <c r="AN68" s="8" t="s">
        <v>339</v>
      </c>
      <c r="AO68" s="8" t="s">
        <v>340</v>
      </c>
      <c r="AP68" s="35" t="s">
        <v>265</v>
      </c>
      <c r="AQ68" s="39" t="n">
        <v>59.9</v>
      </c>
      <c r="AR68" s="39" t="n">
        <v>4.5</v>
      </c>
      <c r="AS68" s="33" t="n">
        <v>121</v>
      </c>
      <c r="AT68" s="45"/>
      <c r="AU68" s="45" t="n">
        <v>593.96</v>
      </c>
      <c r="AV68" s="45" t="n">
        <v>262</v>
      </c>
      <c r="AW68" s="39" t="n">
        <v>85.4</v>
      </c>
      <c r="AX68" s="39" t="n">
        <v>81.8</v>
      </c>
      <c r="AY68" s="39" t="n">
        <v>72.6</v>
      </c>
      <c r="AZ68" s="39" t="n">
        <v>12</v>
      </c>
      <c r="BA68" s="39" t="n">
        <v>0</v>
      </c>
      <c r="BB68" s="39" t="n">
        <v>20.2</v>
      </c>
      <c r="BC68" s="8" t="s">
        <v>458</v>
      </c>
      <c r="BD68" s="47" t="s">
        <v>346</v>
      </c>
      <c r="BE68" s="41" t="s">
        <v>459</v>
      </c>
    </row>
    <row r="69" customFormat="false" ht="15" hidden="false" customHeight="false" outlineLevel="0" collapsed="false">
      <c r="A69" s="33" t="n">
        <f aca="false">RANK(B69,$B$5:$B$266)</f>
        <v>65</v>
      </c>
      <c r="B69" s="34" t="n">
        <f aca="false">ROUND((AW69*'Scoring Weights'!$B$5+AX69*'Scoring Weights'!$B$6+AY69*'Scoring Weights'!$B$7+BA69*'Scoring Weights'!$B$8+AZ69*'Scoring Weights'!$B$9+BB69*'Scoring Weights'!$B$10)/MAX('Scoring Weights'!$B$11,1),1)</f>
        <v>55.8</v>
      </c>
      <c r="C69" s="35" t="str">
        <f aca="false">IF(AND(H69&lt;='Search Criteria'!$B$5,D69&gt;='Search Criteria'!$B$6,AQ69&lt;='Search Criteria'!$B$7,I69&lt;=INDEX('Search Criteria'!$B$18:$B$20,MATCH(E69,'Search Criteria'!$A$18:$A$20,0)),OR(NOT('Search Criteria'!$B$8),L69&lt;&gt;"FWD"),OR(NOT('Search Criteria'!$B$9),T69="Yes"),OR(NOT('Search Criteria'!$B$10),W69&gt;0),OR(NOT('Search Criteria'!$B$11),X69="Yes"),OR(NOT('Search Criteria'!$B$12),O69="GREAT",O69="GOOD"),OR(NOT('Search Criteria'!$B$13),K69="Yes")),"YES","no")</f>
        <v>YES</v>
      </c>
      <c r="D69" s="33" t="n">
        <v>2025</v>
      </c>
      <c r="E69" s="8" t="s">
        <v>94</v>
      </c>
      <c r="F69" s="8" t="s">
        <v>232</v>
      </c>
      <c r="G69" s="8" t="s">
        <v>268</v>
      </c>
      <c r="H69" s="45" t="n">
        <v>30472</v>
      </c>
      <c r="I69" s="46" t="n">
        <v>41083</v>
      </c>
      <c r="J69" s="37" t="n">
        <f aca="false">IFERROR(ROUND(I69/MAX(2026-D69,0.5),0),"")</f>
        <v>41083</v>
      </c>
      <c r="K69" s="35" t="s">
        <v>259</v>
      </c>
      <c r="L69" s="35" t="s">
        <v>256</v>
      </c>
      <c r="M69" s="35" t="s">
        <v>257</v>
      </c>
      <c r="N69" s="33" t="n">
        <v>28</v>
      </c>
      <c r="O69" s="35" t="s">
        <v>258</v>
      </c>
      <c r="P69" s="45" t="n">
        <v>33206</v>
      </c>
      <c r="Q69" s="38" t="n">
        <v>0.082</v>
      </c>
      <c r="R69" s="35" t="s">
        <v>258</v>
      </c>
      <c r="S69" s="45" t="n">
        <v>400</v>
      </c>
      <c r="T69" s="35" t="s">
        <v>255</v>
      </c>
      <c r="U69" s="33" t="n">
        <v>1</v>
      </c>
      <c r="V69" s="35" t="s">
        <v>255</v>
      </c>
      <c r="W69" s="33" t="n">
        <v>5</v>
      </c>
      <c r="X69" s="35" t="s">
        <v>255</v>
      </c>
      <c r="Y69" s="35" t="s">
        <v>255</v>
      </c>
      <c r="Z69" s="35" t="s">
        <v>259</v>
      </c>
      <c r="AA69" s="35" t="s">
        <v>255</v>
      </c>
      <c r="AB69" s="35" t="s">
        <v>255</v>
      </c>
      <c r="AC69" s="35" t="s">
        <v>259</v>
      </c>
      <c r="AD69" s="35" t="s">
        <v>259</v>
      </c>
      <c r="AE69" s="35" t="s">
        <v>259</v>
      </c>
      <c r="AF69" s="35" t="s">
        <v>259</v>
      </c>
      <c r="AG69" s="35" t="s">
        <v>259</v>
      </c>
      <c r="AH69" s="35" t="s">
        <v>259</v>
      </c>
      <c r="AI69" s="35" t="s">
        <v>255</v>
      </c>
      <c r="AJ69" s="35" t="s">
        <v>259</v>
      </c>
      <c r="AK69" s="8" t="s">
        <v>260</v>
      </c>
      <c r="AL69" s="8" t="s">
        <v>261</v>
      </c>
      <c r="AM69" s="8" t="s">
        <v>262</v>
      </c>
      <c r="AN69" s="8" t="s">
        <v>315</v>
      </c>
      <c r="AO69" s="8" t="s">
        <v>294</v>
      </c>
      <c r="AP69" s="35" t="s">
        <v>272</v>
      </c>
      <c r="AQ69" s="39" t="n">
        <v>41.6</v>
      </c>
      <c r="AR69" s="39" t="n">
        <v>4.6</v>
      </c>
      <c r="AS69" s="33" t="n">
        <v>65</v>
      </c>
      <c r="AT69" s="45"/>
      <c r="AU69" s="45" t="n">
        <v>544.34</v>
      </c>
      <c r="AV69" s="45" t="n">
        <v>314</v>
      </c>
      <c r="AW69" s="39" t="n">
        <v>94</v>
      </c>
      <c r="AX69" s="39" t="n">
        <v>89.9</v>
      </c>
      <c r="AY69" s="39" t="n">
        <v>28.9</v>
      </c>
      <c r="AZ69" s="39" t="n">
        <v>30</v>
      </c>
      <c r="BA69" s="39" t="n">
        <v>0</v>
      </c>
      <c r="BB69" s="39" t="n">
        <v>44.5</v>
      </c>
      <c r="BC69" s="8" t="s">
        <v>460</v>
      </c>
      <c r="BD69" s="47" t="s">
        <v>274</v>
      </c>
      <c r="BE69" s="41" t="s">
        <v>179</v>
      </c>
    </row>
    <row r="70" customFormat="false" ht="15" hidden="false" customHeight="false" outlineLevel="0" collapsed="false">
      <c r="A70" s="33" t="n">
        <f aca="false">RANK(B70,$B$5:$B$266)</f>
        <v>65</v>
      </c>
      <c r="B70" s="34" t="n">
        <f aca="false">ROUND((AW70*'Scoring Weights'!$B$5+AX70*'Scoring Weights'!$B$6+AY70*'Scoring Weights'!$B$7+BA70*'Scoring Weights'!$B$8+AZ70*'Scoring Weights'!$B$9+BB70*'Scoring Weights'!$B$10)/MAX('Scoring Weights'!$B$11,1),1)</f>
        <v>55.8</v>
      </c>
      <c r="C70" s="35" t="str">
        <f aca="false">IF(AND(H70&lt;='Search Criteria'!$B$5,D70&gt;='Search Criteria'!$B$6,AQ70&lt;='Search Criteria'!$B$7,I70&lt;=INDEX('Search Criteria'!$B$18:$B$20,MATCH(E70,'Search Criteria'!$A$18:$A$20,0)),OR(NOT('Search Criteria'!$B$8),L70&lt;&gt;"FWD"),OR(NOT('Search Criteria'!$B$9),T70="Yes"),OR(NOT('Search Criteria'!$B$10),W70&gt;0),OR(NOT('Search Criteria'!$B$11),X70="Yes"),OR(NOT('Search Criteria'!$B$12),O70="GREAT",O70="GOOD"),OR(NOT('Search Criteria'!$B$13),K70="Yes")),"YES","no")</f>
        <v>no</v>
      </c>
      <c r="D70" s="33" t="n">
        <v>2024</v>
      </c>
      <c r="E70" s="8" t="s">
        <v>92</v>
      </c>
      <c r="F70" s="8" t="s">
        <v>236</v>
      </c>
      <c r="G70" s="8" t="s">
        <v>296</v>
      </c>
      <c r="H70" s="45" t="n">
        <v>28895</v>
      </c>
      <c r="I70" s="46" t="n">
        <v>71448</v>
      </c>
      <c r="J70" s="37" t="n">
        <f aca="false">IFERROR(ROUND(I70/MAX(2026-D70,0.5),0),"")</f>
        <v>35724</v>
      </c>
      <c r="K70" s="35" t="s">
        <v>259</v>
      </c>
      <c r="L70" s="35" t="s">
        <v>256</v>
      </c>
      <c r="M70" s="35" t="s">
        <v>302</v>
      </c>
      <c r="N70" s="33" t="n">
        <v>39</v>
      </c>
      <c r="O70" s="35" t="s">
        <v>258</v>
      </c>
      <c r="P70" s="45" t="n">
        <v>30273</v>
      </c>
      <c r="Q70" s="38" t="n">
        <v>0.046</v>
      </c>
      <c r="R70" s="35" t="s">
        <v>258</v>
      </c>
      <c r="S70" s="45" t="n">
        <v>390</v>
      </c>
      <c r="T70" s="35" t="s">
        <v>255</v>
      </c>
      <c r="U70" s="33" t="n">
        <v>1</v>
      </c>
      <c r="V70" s="35" t="s">
        <v>259</v>
      </c>
      <c r="W70" s="33" t="n">
        <v>7</v>
      </c>
      <c r="X70" s="35" t="s">
        <v>259</v>
      </c>
      <c r="Y70" s="35" t="s">
        <v>255</v>
      </c>
      <c r="Z70" s="35" t="s">
        <v>255</v>
      </c>
      <c r="AA70" s="35" t="s">
        <v>255</v>
      </c>
      <c r="AB70" s="35" t="s">
        <v>255</v>
      </c>
      <c r="AC70" s="35" t="s">
        <v>255</v>
      </c>
      <c r="AD70" s="35" t="s">
        <v>259</v>
      </c>
      <c r="AE70" s="35" t="s">
        <v>259</v>
      </c>
      <c r="AF70" s="35" t="s">
        <v>259</v>
      </c>
      <c r="AG70" s="35" t="s">
        <v>259</v>
      </c>
      <c r="AH70" s="35" t="s">
        <v>259</v>
      </c>
      <c r="AI70" s="35" t="s">
        <v>255</v>
      </c>
      <c r="AJ70" s="35" t="s">
        <v>259</v>
      </c>
      <c r="AK70" s="8" t="s">
        <v>261</v>
      </c>
      <c r="AL70" s="8" t="s">
        <v>260</v>
      </c>
      <c r="AM70" s="8" t="s">
        <v>278</v>
      </c>
      <c r="AN70" s="8" t="s">
        <v>415</v>
      </c>
      <c r="AO70" s="8" t="s">
        <v>416</v>
      </c>
      <c r="AP70" s="35" t="s">
        <v>272</v>
      </c>
      <c r="AQ70" s="39" t="n">
        <v>33.3</v>
      </c>
      <c r="AR70" s="39" t="n">
        <v>4.1</v>
      </c>
      <c r="AS70" s="33" t="n">
        <v>51</v>
      </c>
      <c r="AT70" s="45"/>
      <c r="AU70" s="45" t="n">
        <v>516.17</v>
      </c>
      <c r="AV70" s="45" t="n">
        <v>230</v>
      </c>
      <c r="AW70" s="39" t="n">
        <v>90.8</v>
      </c>
      <c r="AX70" s="39" t="n">
        <v>84.3</v>
      </c>
      <c r="AY70" s="39" t="n">
        <v>20</v>
      </c>
      <c r="AZ70" s="39" t="n">
        <v>52</v>
      </c>
      <c r="BA70" s="39" t="n">
        <v>0</v>
      </c>
      <c r="BB70" s="39" t="n">
        <v>55.7</v>
      </c>
      <c r="BC70" s="8" t="s">
        <v>461</v>
      </c>
      <c r="BD70" s="47" t="s">
        <v>346</v>
      </c>
      <c r="BE70" s="41" t="s">
        <v>462</v>
      </c>
    </row>
    <row r="71" customFormat="false" ht="15" hidden="false" customHeight="false" outlineLevel="0" collapsed="false">
      <c r="A71" s="33" t="n">
        <f aca="false">RANK(B71,$B$5:$B$266)</f>
        <v>67</v>
      </c>
      <c r="B71" s="34" t="n">
        <f aca="false">ROUND((AW71*'Scoring Weights'!$B$5+AX71*'Scoring Weights'!$B$6+AY71*'Scoring Weights'!$B$7+BA71*'Scoring Weights'!$B$8+AZ71*'Scoring Weights'!$B$9+BB71*'Scoring Weights'!$B$10)/MAX('Scoring Weights'!$B$11,1),1)</f>
        <v>55.7</v>
      </c>
      <c r="C71" s="35" t="str">
        <f aca="false">IF(AND(H71&lt;='Search Criteria'!$B$5,D71&gt;='Search Criteria'!$B$6,AQ71&lt;='Search Criteria'!$B$7,I71&lt;=INDEX('Search Criteria'!$B$18:$B$20,MATCH(E71,'Search Criteria'!$A$18:$A$20,0)),OR(NOT('Search Criteria'!$B$8),L71&lt;&gt;"FWD"),OR(NOT('Search Criteria'!$B$9),T71="Yes"),OR(NOT('Search Criteria'!$B$10),W71&gt;0),OR(NOT('Search Criteria'!$B$11),X71="Yes"),OR(NOT('Search Criteria'!$B$12),O71="GREAT",O71="GOOD"),OR(NOT('Search Criteria'!$B$13),K71="Yes")),"YES","no")</f>
        <v>no</v>
      </c>
      <c r="D71" s="33" t="n">
        <v>2025</v>
      </c>
      <c r="E71" s="8" t="s">
        <v>92</v>
      </c>
      <c r="F71" s="8" t="s">
        <v>236</v>
      </c>
      <c r="G71" s="8" t="s">
        <v>338</v>
      </c>
      <c r="H71" s="45" t="n">
        <v>35426</v>
      </c>
      <c r="I71" s="46" t="n">
        <v>35980</v>
      </c>
      <c r="J71" s="37" t="n">
        <f aca="false">IFERROR(ROUND(I71/MAX(2026-D71,0.5),0),"")</f>
        <v>35980</v>
      </c>
      <c r="K71" s="35" t="s">
        <v>255</v>
      </c>
      <c r="L71" s="35" t="s">
        <v>256</v>
      </c>
      <c r="M71" s="35" t="s">
        <v>302</v>
      </c>
      <c r="N71" s="33" t="n">
        <v>39</v>
      </c>
      <c r="O71" s="35" t="s">
        <v>297</v>
      </c>
      <c r="P71" s="45" t="n">
        <v>34299</v>
      </c>
      <c r="Q71" s="38" t="n">
        <v>-0.033</v>
      </c>
      <c r="R71" s="35" t="s">
        <v>277</v>
      </c>
      <c r="S71" s="45"/>
      <c r="T71" s="35" t="s">
        <v>259</v>
      </c>
      <c r="U71" s="33" t="n">
        <v>1</v>
      </c>
      <c r="V71" s="35" t="s">
        <v>255</v>
      </c>
      <c r="W71" s="33" t="n">
        <v>6</v>
      </c>
      <c r="X71" s="35" t="s">
        <v>259</v>
      </c>
      <c r="Y71" s="35" t="s">
        <v>255</v>
      </c>
      <c r="Z71" s="35" t="s">
        <v>259</v>
      </c>
      <c r="AA71" s="35" t="s">
        <v>259</v>
      </c>
      <c r="AB71" s="35" t="s">
        <v>259</v>
      </c>
      <c r="AC71" s="35" t="s">
        <v>259</v>
      </c>
      <c r="AD71" s="35" t="s">
        <v>259</v>
      </c>
      <c r="AE71" s="35" t="s">
        <v>259</v>
      </c>
      <c r="AF71" s="35" t="s">
        <v>259</v>
      </c>
      <c r="AG71" s="35" t="s">
        <v>259</v>
      </c>
      <c r="AH71" s="35" t="s">
        <v>255</v>
      </c>
      <c r="AI71" s="35" t="s">
        <v>259</v>
      </c>
      <c r="AJ71" s="35" t="s">
        <v>259</v>
      </c>
      <c r="AK71" s="8" t="s">
        <v>269</v>
      </c>
      <c r="AL71" s="8" t="s">
        <v>261</v>
      </c>
      <c r="AM71" s="8" t="s">
        <v>278</v>
      </c>
      <c r="AN71" s="8" t="s">
        <v>288</v>
      </c>
      <c r="AO71" s="8" t="s">
        <v>271</v>
      </c>
      <c r="AP71" s="35" t="s">
        <v>272</v>
      </c>
      <c r="AQ71" s="39" t="n">
        <v>74.7</v>
      </c>
      <c r="AR71" s="39" t="n">
        <v>4.7</v>
      </c>
      <c r="AS71" s="33" t="n">
        <v>32</v>
      </c>
      <c r="AT71" s="45" t="n">
        <v>-36</v>
      </c>
      <c r="AU71" s="45" t="n">
        <v>632.83</v>
      </c>
      <c r="AV71" s="45" t="n">
        <v>314</v>
      </c>
      <c r="AW71" s="39" t="n">
        <v>81.6</v>
      </c>
      <c r="AX71" s="39" t="n">
        <v>47.8</v>
      </c>
      <c r="AY71" s="39" t="n">
        <v>44.8</v>
      </c>
      <c r="AZ71" s="39" t="n">
        <v>6</v>
      </c>
      <c r="BA71" s="39" t="n">
        <v>100</v>
      </c>
      <c r="BB71" s="39" t="n">
        <v>0.4</v>
      </c>
      <c r="BC71" s="8" t="s">
        <v>463</v>
      </c>
      <c r="BD71" s="47" t="s">
        <v>290</v>
      </c>
      <c r="BE71" s="41" t="s">
        <v>464</v>
      </c>
    </row>
    <row r="72" customFormat="false" ht="15" hidden="false" customHeight="false" outlineLevel="0" collapsed="false">
      <c r="A72" s="33" t="n">
        <f aca="false">RANK(B72,$B$5:$B$266)</f>
        <v>68</v>
      </c>
      <c r="B72" s="34" t="n">
        <f aca="false">ROUND((AW72*'Scoring Weights'!$B$5+AX72*'Scoring Weights'!$B$6+AY72*'Scoring Weights'!$B$7+BA72*'Scoring Weights'!$B$8+AZ72*'Scoring Weights'!$B$9+BB72*'Scoring Weights'!$B$10)/MAX('Scoring Weights'!$B$11,1),1)</f>
        <v>55.5</v>
      </c>
      <c r="C72" s="35" t="str">
        <f aca="false">IF(AND(H72&lt;='Search Criteria'!$B$5,D72&gt;='Search Criteria'!$B$6,AQ72&lt;='Search Criteria'!$B$7,I72&lt;=INDEX('Search Criteria'!$B$18:$B$20,MATCH(E72,'Search Criteria'!$A$18:$A$20,0)),OR(NOT('Search Criteria'!$B$8),L72&lt;&gt;"FWD"),OR(NOT('Search Criteria'!$B$9),T72="Yes"),OR(NOT('Search Criteria'!$B$10),W72&gt;0),OR(NOT('Search Criteria'!$B$11),X72="Yes"),OR(NOT('Search Criteria'!$B$12),O72="GREAT",O72="GOOD"),OR(NOT('Search Criteria'!$B$13),K72="Yes")),"YES","no")</f>
        <v>no</v>
      </c>
      <c r="D72" s="33" t="n">
        <v>2024</v>
      </c>
      <c r="E72" s="8" t="s">
        <v>94</v>
      </c>
      <c r="F72" s="8" t="s">
        <v>232</v>
      </c>
      <c r="G72" s="8" t="s">
        <v>254</v>
      </c>
      <c r="H72" s="45" t="n">
        <v>32083</v>
      </c>
      <c r="I72" s="46" t="n">
        <v>37527</v>
      </c>
      <c r="J72" s="37" t="n">
        <f aca="false">IFERROR(ROUND(I72/MAX(2026-D72,0.5),0),"")</f>
        <v>18764</v>
      </c>
      <c r="K72" s="35" t="s">
        <v>259</v>
      </c>
      <c r="L72" s="35" t="s">
        <v>256</v>
      </c>
      <c r="M72" s="35" t="s">
        <v>257</v>
      </c>
      <c r="N72" s="33" t="n">
        <v>29</v>
      </c>
      <c r="O72" s="35" t="s">
        <v>286</v>
      </c>
      <c r="P72" s="45" t="n">
        <v>32314</v>
      </c>
      <c r="Q72" s="38" t="n">
        <v>0.007</v>
      </c>
      <c r="R72" s="35" t="s">
        <v>258</v>
      </c>
      <c r="S72" s="45" t="n">
        <v>320</v>
      </c>
      <c r="T72" s="35" t="s">
        <v>259</v>
      </c>
      <c r="U72" s="33" t="n">
        <v>1</v>
      </c>
      <c r="V72" s="35" t="s">
        <v>255</v>
      </c>
      <c r="W72" s="33" t="n">
        <v>8</v>
      </c>
      <c r="X72" s="35" t="s">
        <v>255</v>
      </c>
      <c r="Y72" s="35" t="s">
        <v>255</v>
      </c>
      <c r="Z72" s="35" t="s">
        <v>259</v>
      </c>
      <c r="AA72" s="35" t="s">
        <v>255</v>
      </c>
      <c r="AB72" s="35" t="s">
        <v>255</v>
      </c>
      <c r="AC72" s="35" t="s">
        <v>255</v>
      </c>
      <c r="AD72" s="35" t="s">
        <v>255</v>
      </c>
      <c r="AE72" s="35" t="s">
        <v>255</v>
      </c>
      <c r="AF72" s="35" t="s">
        <v>259</v>
      </c>
      <c r="AG72" s="35" t="s">
        <v>255</v>
      </c>
      <c r="AH72" s="35" t="s">
        <v>255</v>
      </c>
      <c r="AI72" s="35" t="s">
        <v>255</v>
      </c>
      <c r="AJ72" s="35" t="s">
        <v>259</v>
      </c>
      <c r="AK72" s="8" t="s">
        <v>260</v>
      </c>
      <c r="AL72" s="8" t="s">
        <v>261</v>
      </c>
      <c r="AM72" s="8" t="s">
        <v>262</v>
      </c>
      <c r="AN72" s="8" t="s">
        <v>315</v>
      </c>
      <c r="AO72" s="8" t="s">
        <v>294</v>
      </c>
      <c r="AP72" s="35" t="s">
        <v>272</v>
      </c>
      <c r="AQ72" s="39" t="n">
        <v>41.6</v>
      </c>
      <c r="AR72" s="39" t="n">
        <v>4.6</v>
      </c>
      <c r="AS72" s="33" t="n">
        <v>54</v>
      </c>
      <c r="AT72" s="45" t="n">
        <v>1576</v>
      </c>
      <c r="AU72" s="45" t="n">
        <v>573.12</v>
      </c>
      <c r="AV72" s="45" t="n">
        <v>314</v>
      </c>
      <c r="AW72" s="39" t="n">
        <v>84</v>
      </c>
      <c r="AX72" s="39" t="n">
        <v>66.5</v>
      </c>
      <c r="AY72" s="39" t="n">
        <v>32.5</v>
      </c>
      <c r="AZ72" s="39" t="n">
        <v>78</v>
      </c>
      <c r="BA72" s="39" t="n">
        <v>0</v>
      </c>
      <c r="BB72" s="39" t="n">
        <v>44.5</v>
      </c>
      <c r="BC72" s="8" t="s">
        <v>465</v>
      </c>
      <c r="BD72" s="47" t="s">
        <v>307</v>
      </c>
      <c r="BE72" s="41" t="s">
        <v>466</v>
      </c>
    </row>
    <row r="73" customFormat="false" ht="15" hidden="false" customHeight="false" outlineLevel="0" collapsed="false">
      <c r="A73" s="33" t="n">
        <f aca="false">RANK(B73,$B$5:$B$266)</f>
        <v>69</v>
      </c>
      <c r="B73" s="34" t="n">
        <f aca="false">ROUND((AW73*'Scoring Weights'!$B$5+AX73*'Scoring Weights'!$B$6+AY73*'Scoring Weights'!$B$7+BA73*'Scoring Weights'!$B$8+AZ73*'Scoring Weights'!$B$9+BB73*'Scoring Weights'!$B$10)/MAX('Scoring Weights'!$B$11,1),1)</f>
        <v>55.2</v>
      </c>
      <c r="C73" s="35" t="str">
        <f aca="false">IF(AND(H73&lt;='Search Criteria'!$B$5,D73&gt;='Search Criteria'!$B$6,AQ73&lt;='Search Criteria'!$B$7,I73&lt;=INDEX('Search Criteria'!$B$18:$B$20,MATCH(E73,'Search Criteria'!$A$18:$A$20,0)),OR(NOT('Search Criteria'!$B$8),L73&lt;&gt;"FWD"),OR(NOT('Search Criteria'!$B$9),T73="Yes"),OR(NOT('Search Criteria'!$B$10),W73&gt;0),OR(NOT('Search Criteria'!$B$11),X73="Yes"),OR(NOT('Search Criteria'!$B$12),O73="GREAT",O73="GOOD"),OR(NOT('Search Criteria'!$B$13),K73="Yes")),"YES","no")</f>
        <v>no</v>
      </c>
      <c r="D73" s="33" t="n">
        <v>2023</v>
      </c>
      <c r="E73" s="8" t="s">
        <v>94</v>
      </c>
      <c r="F73" s="8" t="s">
        <v>232</v>
      </c>
      <c r="G73" s="8" t="s">
        <v>254</v>
      </c>
      <c r="H73" s="45" t="n">
        <v>33514</v>
      </c>
      <c r="I73" s="46" t="n">
        <v>30206</v>
      </c>
      <c r="J73" s="37" t="n">
        <f aca="false">IFERROR(ROUND(I73/MAX(2026-D73,0.5),0),"")</f>
        <v>10069</v>
      </c>
      <c r="K73" s="35" t="s">
        <v>259</v>
      </c>
      <c r="L73" s="35" t="s">
        <v>256</v>
      </c>
      <c r="M73" s="35" t="s">
        <v>257</v>
      </c>
      <c r="N73" s="33" t="n">
        <v>29</v>
      </c>
      <c r="O73" s="35" t="s">
        <v>297</v>
      </c>
      <c r="P73" s="45" t="n">
        <v>31682</v>
      </c>
      <c r="Q73" s="38" t="n">
        <v>-0.058</v>
      </c>
      <c r="R73" s="35" t="s">
        <v>258</v>
      </c>
      <c r="S73" s="45" t="n">
        <v>570</v>
      </c>
      <c r="T73" s="35" t="s">
        <v>255</v>
      </c>
      <c r="U73" s="33" t="n">
        <v>1</v>
      </c>
      <c r="V73" s="35" t="s">
        <v>255</v>
      </c>
      <c r="W73" s="33" t="n">
        <v>4</v>
      </c>
      <c r="X73" s="35" t="s">
        <v>255</v>
      </c>
      <c r="Y73" s="35" t="s">
        <v>255</v>
      </c>
      <c r="Z73" s="35" t="s">
        <v>259</v>
      </c>
      <c r="AA73" s="35" t="s">
        <v>255</v>
      </c>
      <c r="AB73" s="35" t="s">
        <v>255</v>
      </c>
      <c r="AC73" s="35" t="s">
        <v>255</v>
      </c>
      <c r="AD73" s="35" t="s">
        <v>255</v>
      </c>
      <c r="AE73" s="35" t="s">
        <v>259</v>
      </c>
      <c r="AF73" s="35" t="s">
        <v>259</v>
      </c>
      <c r="AG73" s="35" t="s">
        <v>255</v>
      </c>
      <c r="AH73" s="35" t="s">
        <v>255</v>
      </c>
      <c r="AI73" s="35" t="s">
        <v>255</v>
      </c>
      <c r="AJ73" s="35" t="s">
        <v>259</v>
      </c>
      <c r="AK73" s="8" t="s">
        <v>260</v>
      </c>
      <c r="AL73" s="8" t="s">
        <v>261</v>
      </c>
      <c r="AM73" s="8" t="s">
        <v>262</v>
      </c>
      <c r="AN73" s="8" t="s">
        <v>315</v>
      </c>
      <c r="AO73" s="8" t="s">
        <v>294</v>
      </c>
      <c r="AP73" s="35" t="s">
        <v>272</v>
      </c>
      <c r="AQ73" s="39" t="n">
        <v>41.6</v>
      </c>
      <c r="AR73" s="39" t="n">
        <v>4.6</v>
      </c>
      <c r="AS73" s="33" t="n">
        <v>23</v>
      </c>
      <c r="AT73" s="45"/>
      <c r="AU73" s="45" t="n">
        <v>598.68</v>
      </c>
      <c r="AV73" s="45" t="n">
        <v>314</v>
      </c>
      <c r="AW73" s="39" t="n">
        <v>88.6</v>
      </c>
      <c r="AX73" s="39" t="n">
        <v>44.1</v>
      </c>
      <c r="AY73" s="39" t="n">
        <v>59.6</v>
      </c>
      <c r="AZ73" s="39" t="n">
        <v>68</v>
      </c>
      <c r="BA73" s="39" t="n">
        <v>0</v>
      </c>
      <c r="BB73" s="39" t="n">
        <v>44.5</v>
      </c>
      <c r="BC73" s="8" t="s">
        <v>467</v>
      </c>
      <c r="BD73" s="47" t="s">
        <v>330</v>
      </c>
      <c r="BE73" s="41" t="s">
        <v>468</v>
      </c>
    </row>
    <row r="74" customFormat="false" ht="15" hidden="false" customHeight="false" outlineLevel="0" collapsed="false">
      <c r="A74" s="33" t="n">
        <f aca="false">RANK(B74,$B$5:$B$266)</f>
        <v>69</v>
      </c>
      <c r="B74" s="34" t="n">
        <f aca="false">ROUND((AW74*'Scoring Weights'!$B$5+AX74*'Scoring Weights'!$B$6+AY74*'Scoring Weights'!$B$7+BA74*'Scoring Weights'!$B$8+AZ74*'Scoring Weights'!$B$9+BB74*'Scoring Weights'!$B$10)/MAX('Scoring Weights'!$B$11,1),1)</f>
        <v>55.2</v>
      </c>
      <c r="C74" s="35" t="str">
        <f aca="false">IF(AND(H74&lt;='Search Criteria'!$B$5,D74&gt;='Search Criteria'!$B$6,AQ74&lt;='Search Criteria'!$B$7,I74&lt;=INDEX('Search Criteria'!$B$18:$B$20,MATCH(E74,'Search Criteria'!$A$18:$A$20,0)),OR(NOT('Search Criteria'!$B$8),L74&lt;&gt;"FWD"),OR(NOT('Search Criteria'!$B$9),T74="Yes"),OR(NOT('Search Criteria'!$B$10),W74&gt;0),OR(NOT('Search Criteria'!$B$11),X74="Yes"),OR(NOT('Search Criteria'!$B$12),O74="GREAT",O74="GOOD"),OR(NOT('Search Criteria'!$B$13),K74="Yes")),"YES","no")</f>
        <v>no</v>
      </c>
      <c r="D74" s="33" t="n">
        <v>2024</v>
      </c>
      <c r="E74" s="8" t="s">
        <v>94</v>
      </c>
      <c r="F74" s="8" t="s">
        <v>232</v>
      </c>
      <c r="G74" s="8" t="s">
        <v>254</v>
      </c>
      <c r="H74" s="45" t="n">
        <v>28446</v>
      </c>
      <c r="I74" s="46" t="n">
        <v>73012</v>
      </c>
      <c r="J74" s="37" t="n">
        <f aca="false">IFERROR(ROUND(I74/MAX(2026-D74,0.5),0),"")</f>
        <v>36506</v>
      </c>
      <c r="K74" s="35" t="s">
        <v>259</v>
      </c>
      <c r="L74" s="35" t="s">
        <v>256</v>
      </c>
      <c r="M74" s="35" t="s">
        <v>257</v>
      </c>
      <c r="N74" s="33" t="n">
        <v>29</v>
      </c>
      <c r="O74" s="35" t="s">
        <v>258</v>
      </c>
      <c r="P74" s="45" t="n">
        <v>29862</v>
      </c>
      <c r="Q74" s="38" t="n">
        <v>0.047</v>
      </c>
      <c r="R74" s="35" t="s">
        <v>258</v>
      </c>
      <c r="S74" s="45" t="n">
        <v>600</v>
      </c>
      <c r="T74" s="35" t="s">
        <v>259</v>
      </c>
      <c r="U74" s="33" t="n">
        <v>1</v>
      </c>
      <c r="V74" s="35" t="s">
        <v>255</v>
      </c>
      <c r="W74" s="33" t="n">
        <v>20</v>
      </c>
      <c r="X74" s="35" t="s">
        <v>255</v>
      </c>
      <c r="Y74" s="35" t="s">
        <v>255</v>
      </c>
      <c r="Z74" s="35" t="s">
        <v>259</v>
      </c>
      <c r="AA74" s="35" t="s">
        <v>255</v>
      </c>
      <c r="AB74" s="35" t="s">
        <v>255</v>
      </c>
      <c r="AC74" s="35" t="s">
        <v>255</v>
      </c>
      <c r="AD74" s="35" t="s">
        <v>255</v>
      </c>
      <c r="AE74" s="35" t="s">
        <v>255</v>
      </c>
      <c r="AF74" s="35" t="s">
        <v>259</v>
      </c>
      <c r="AG74" s="35" t="s">
        <v>255</v>
      </c>
      <c r="AH74" s="35" t="s">
        <v>255</v>
      </c>
      <c r="AI74" s="35" t="s">
        <v>255</v>
      </c>
      <c r="AJ74" s="35" t="s">
        <v>259</v>
      </c>
      <c r="AK74" s="8" t="s">
        <v>367</v>
      </c>
      <c r="AL74" s="8" t="s">
        <v>261</v>
      </c>
      <c r="AM74" s="8" t="s">
        <v>262</v>
      </c>
      <c r="AN74" s="8" t="s">
        <v>349</v>
      </c>
      <c r="AO74" s="8" t="s">
        <v>280</v>
      </c>
      <c r="AP74" s="35" t="s">
        <v>265</v>
      </c>
      <c r="AQ74" s="39" t="n">
        <v>10.7</v>
      </c>
      <c r="AR74" s="39" t="n">
        <v>4.6</v>
      </c>
      <c r="AS74" s="33" t="n">
        <v>44</v>
      </c>
      <c r="AT74" s="45" t="n">
        <v>553</v>
      </c>
      <c r="AU74" s="45" t="n">
        <v>508.15</v>
      </c>
      <c r="AV74" s="45" t="n">
        <v>250</v>
      </c>
      <c r="AW74" s="39" t="n">
        <v>82.2</v>
      </c>
      <c r="AX74" s="39" t="n">
        <v>84.6</v>
      </c>
      <c r="AY74" s="39" t="n">
        <v>0</v>
      </c>
      <c r="AZ74" s="39" t="n">
        <v>78</v>
      </c>
      <c r="BA74" s="39" t="n">
        <v>0</v>
      </c>
      <c r="BB74" s="39" t="n">
        <v>85.7</v>
      </c>
      <c r="BC74" s="8" t="s">
        <v>469</v>
      </c>
      <c r="BD74" s="47" t="s">
        <v>307</v>
      </c>
      <c r="BE74" s="41" t="s">
        <v>470</v>
      </c>
    </row>
    <row r="75" customFormat="false" ht="15" hidden="false" customHeight="false" outlineLevel="0" collapsed="false">
      <c r="A75" s="33" t="n">
        <f aca="false">RANK(B75,$B$5:$B$266)</f>
        <v>71</v>
      </c>
      <c r="B75" s="34" t="n">
        <f aca="false">ROUND((AW75*'Scoring Weights'!$B$5+AX75*'Scoring Weights'!$B$6+AY75*'Scoring Weights'!$B$7+BA75*'Scoring Weights'!$B$8+AZ75*'Scoring Weights'!$B$9+BB75*'Scoring Weights'!$B$10)/MAX('Scoring Weights'!$B$11,1),1)</f>
        <v>55.1</v>
      </c>
      <c r="C75" s="35" t="str">
        <f aca="false">IF(AND(H75&lt;='Search Criteria'!$B$5,D75&gt;='Search Criteria'!$B$6,AQ75&lt;='Search Criteria'!$B$7,I75&lt;=INDEX('Search Criteria'!$B$18:$B$20,MATCH(E75,'Search Criteria'!$A$18:$A$20,0)),OR(NOT('Search Criteria'!$B$8),L75&lt;&gt;"FWD"),OR(NOT('Search Criteria'!$B$9),T75="Yes"),OR(NOT('Search Criteria'!$B$10),W75&gt;0),OR(NOT('Search Criteria'!$B$11),X75="Yes"),OR(NOT('Search Criteria'!$B$12),O75="GREAT",O75="GOOD"),OR(NOT('Search Criteria'!$B$13),K75="Yes")),"YES","no")</f>
        <v>no</v>
      </c>
      <c r="D75" s="33" t="n">
        <v>2026</v>
      </c>
      <c r="E75" s="8" t="s">
        <v>94</v>
      </c>
      <c r="F75" s="8" t="s">
        <v>232</v>
      </c>
      <c r="G75" s="8" t="s">
        <v>268</v>
      </c>
      <c r="H75" s="45" t="n">
        <v>34661</v>
      </c>
      <c r="I75" s="46" t="n">
        <v>11169</v>
      </c>
      <c r="J75" s="37" t="n">
        <f aca="false">IFERROR(ROUND(I75/MAX(2026-D75,0.5),0),"")</f>
        <v>22338</v>
      </c>
      <c r="K75" s="35" t="s">
        <v>259</v>
      </c>
      <c r="L75" s="35" t="s">
        <v>256</v>
      </c>
      <c r="M75" s="35" t="s">
        <v>257</v>
      </c>
      <c r="N75" s="33" t="n">
        <v>29</v>
      </c>
      <c r="O75" s="35" t="s">
        <v>297</v>
      </c>
      <c r="P75" s="45" t="n">
        <v>36411</v>
      </c>
      <c r="Q75" s="38" t="n">
        <v>0.048</v>
      </c>
      <c r="R75" s="35" t="s">
        <v>258</v>
      </c>
      <c r="S75" s="45" t="n">
        <v>150</v>
      </c>
      <c r="T75" s="35" t="s">
        <v>255</v>
      </c>
      <c r="U75" s="33" t="n">
        <v>1</v>
      </c>
      <c r="V75" s="35" t="s">
        <v>255</v>
      </c>
      <c r="W75" s="33" t="n">
        <v>4</v>
      </c>
      <c r="X75" s="35" t="s">
        <v>255</v>
      </c>
      <c r="Y75" s="35" t="s">
        <v>255</v>
      </c>
      <c r="Z75" s="35" t="s">
        <v>259</v>
      </c>
      <c r="AA75" s="35" t="s">
        <v>255</v>
      </c>
      <c r="AB75" s="35" t="s">
        <v>255</v>
      </c>
      <c r="AC75" s="35" t="s">
        <v>259</v>
      </c>
      <c r="AD75" s="35" t="s">
        <v>259</v>
      </c>
      <c r="AE75" s="35" t="s">
        <v>259</v>
      </c>
      <c r="AF75" s="35" t="s">
        <v>259</v>
      </c>
      <c r="AG75" s="35" t="s">
        <v>255</v>
      </c>
      <c r="AH75" s="35" t="s">
        <v>259</v>
      </c>
      <c r="AI75" s="35" t="s">
        <v>255</v>
      </c>
      <c r="AJ75" s="35" t="s">
        <v>259</v>
      </c>
      <c r="AK75" s="8" t="s">
        <v>292</v>
      </c>
      <c r="AL75" s="8" t="s">
        <v>261</v>
      </c>
      <c r="AM75" s="8" t="s">
        <v>262</v>
      </c>
      <c r="AN75" s="8" t="s">
        <v>378</v>
      </c>
      <c r="AO75" s="8" t="s">
        <v>379</v>
      </c>
      <c r="AP75" s="35" t="s">
        <v>265</v>
      </c>
      <c r="AQ75" s="39" t="n">
        <v>46.9</v>
      </c>
      <c r="AR75" s="39" t="n">
        <v>4.7</v>
      </c>
      <c r="AS75" s="33" t="n">
        <v>2</v>
      </c>
      <c r="AT75" s="45"/>
      <c r="AU75" s="45" t="n">
        <v>619.17</v>
      </c>
      <c r="AV75" s="45" t="n">
        <v>261</v>
      </c>
      <c r="AW75" s="39" t="n">
        <v>92.8</v>
      </c>
      <c r="AX75" s="39" t="n">
        <v>60</v>
      </c>
      <c r="AY75" s="39" t="n">
        <v>58.8</v>
      </c>
      <c r="AZ75" s="39" t="n">
        <v>38</v>
      </c>
      <c r="BA75" s="39" t="n">
        <v>0</v>
      </c>
      <c r="BB75" s="39" t="n">
        <v>37.5</v>
      </c>
      <c r="BC75" s="8" t="s">
        <v>471</v>
      </c>
      <c r="BD75" s="47" t="s">
        <v>267</v>
      </c>
      <c r="BE75" s="41" t="s">
        <v>472</v>
      </c>
    </row>
    <row r="76" customFormat="false" ht="15" hidden="false" customHeight="false" outlineLevel="0" collapsed="false">
      <c r="A76" s="33" t="n">
        <f aca="false">RANK(B76,$B$5:$B$266)</f>
        <v>71</v>
      </c>
      <c r="B76" s="34" t="n">
        <f aca="false">ROUND((AW76*'Scoring Weights'!$B$5+AX76*'Scoring Weights'!$B$6+AY76*'Scoring Weights'!$B$7+BA76*'Scoring Weights'!$B$8+AZ76*'Scoring Weights'!$B$9+BB76*'Scoring Weights'!$B$10)/MAX('Scoring Weights'!$B$11,1),1)</f>
        <v>55.1</v>
      </c>
      <c r="C76" s="35" t="str">
        <f aca="false">IF(AND(H76&lt;='Search Criteria'!$B$5,D76&gt;='Search Criteria'!$B$6,AQ76&lt;='Search Criteria'!$B$7,I76&lt;=INDEX('Search Criteria'!$B$18:$B$20,MATCH(E76,'Search Criteria'!$A$18:$A$20,0)),OR(NOT('Search Criteria'!$B$8),L76&lt;&gt;"FWD"),OR(NOT('Search Criteria'!$B$9),T76="Yes"),OR(NOT('Search Criteria'!$B$10),W76&gt;0),OR(NOT('Search Criteria'!$B$11),X76="Yes"),OR(NOT('Search Criteria'!$B$12),O76="GREAT",O76="GOOD"),OR(NOT('Search Criteria'!$B$13),K76="Yes")),"YES","no")</f>
        <v>no</v>
      </c>
      <c r="D76" s="33" t="n">
        <v>2024</v>
      </c>
      <c r="E76" s="8" t="s">
        <v>94</v>
      </c>
      <c r="F76" s="8" t="s">
        <v>232</v>
      </c>
      <c r="G76" s="8" t="s">
        <v>268</v>
      </c>
      <c r="H76" s="45" t="n">
        <v>33044</v>
      </c>
      <c r="I76" s="46" t="n">
        <v>26705</v>
      </c>
      <c r="J76" s="37" t="n">
        <f aca="false">IFERROR(ROUND(I76/MAX(2026-D76,0.5),0),"")</f>
        <v>13353</v>
      </c>
      <c r="K76" s="35" t="s">
        <v>259</v>
      </c>
      <c r="L76" s="35" t="s">
        <v>256</v>
      </c>
      <c r="M76" s="35" t="s">
        <v>257</v>
      </c>
      <c r="N76" s="33" t="n">
        <v>29</v>
      </c>
      <c r="O76" s="35" t="s">
        <v>276</v>
      </c>
      <c r="P76" s="45" t="n">
        <v>33062</v>
      </c>
      <c r="Q76" s="38" t="n">
        <v>0.001</v>
      </c>
      <c r="R76" s="35" t="s">
        <v>258</v>
      </c>
      <c r="S76" s="45" t="n">
        <v>560</v>
      </c>
      <c r="T76" s="35" t="s">
        <v>255</v>
      </c>
      <c r="U76" s="33" t="n">
        <v>1</v>
      </c>
      <c r="V76" s="35" t="s">
        <v>255</v>
      </c>
      <c r="W76" s="33" t="n">
        <v>10</v>
      </c>
      <c r="X76" s="35" t="s">
        <v>255</v>
      </c>
      <c r="Y76" s="35" t="s">
        <v>255</v>
      </c>
      <c r="Z76" s="35" t="s">
        <v>259</v>
      </c>
      <c r="AA76" s="35" t="s">
        <v>255</v>
      </c>
      <c r="AB76" s="35" t="s">
        <v>255</v>
      </c>
      <c r="AC76" s="35" t="s">
        <v>259</v>
      </c>
      <c r="AD76" s="35" t="s">
        <v>259</v>
      </c>
      <c r="AE76" s="35" t="s">
        <v>255</v>
      </c>
      <c r="AF76" s="35" t="s">
        <v>259</v>
      </c>
      <c r="AG76" s="35" t="s">
        <v>259</v>
      </c>
      <c r="AH76" s="35" t="s">
        <v>259</v>
      </c>
      <c r="AI76" s="35" t="s">
        <v>255</v>
      </c>
      <c r="AJ76" s="35" t="s">
        <v>259</v>
      </c>
      <c r="AK76" s="8" t="s">
        <v>261</v>
      </c>
      <c r="AL76" s="8" t="s">
        <v>261</v>
      </c>
      <c r="AM76" s="8" t="s">
        <v>262</v>
      </c>
      <c r="AN76" s="8" t="s">
        <v>315</v>
      </c>
      <c r="AO76" s="8" t="s">
        <v>294</v>
      </c>
      <c r="AP76" s="35" t="s">
        <v>272</v>
      </c>
      <c r="AQ76" s="39" t="n">
        <v>41.6</v>
      </c>
      <c r="AR76" s="39" t="n">
        <v>4.6</v>
      </c>
      <c r="AS76" s="33" t="n">
        <v>26</v>
      </c>
      <c r="AT76" s="45" t="n">
        <v>-1044</v>
      </c>
      <c r="AU76" s="45" t="n">
        <v>590.28</v>
      </c>
      <c r="AV76" s="45" t="n">
        <v>314</v>
      </c>
      <c r="AW76" s="39" t="n">
        <v>95.8</v>
      </c>
      <c r="AX76" s="39" t="n">
        <v>56.7</v>
      </c>
      <c r="AY76" s="39" t="n">
        <v>54.9</v>
      </c>
      <c r="AZ76" s="39" t="n">
        <v>40</v>
      </c>
      <c r="BA76" s="39" t="n">
        <v>0</v>
      </c>
      <c r="BB76" s="39" t="n">
        <v>44.5</v>
      </c>
      <c r="BC76" s="8" t="s">
        <v>473</v>
      </c>
      <c r="BD76" s="47" t="s">
        <v>307</v>
      </c>
      <c r="BE76" s="41" t="s">
        <v>474</v>
      </c>
    </row>
    <row r="77" customFormat="false" ht="15" hidden="false" customHeight="false" outlineLevel="0" collapsed="false">
      <c r="A77" s="33" t="n">
        <f aca="false">RANK(B77,$B$5:$B$266)</f>
        <v>71</v>
      </c>
      <c r="B77" s="34" t="n">
        <f aca="false">ROUND((AW77*'Scoring Weights'!$B$5+AX77*'Scoring Weights'!$B$6+AY77*'Scoring Weights'!$B$7+BA77*'Scoring Weights'!$B$8+AZ77*'Scoring Weights'!$B$9+BB77*'Scoring Weights'!$B$10)/MAX('Scoring Weights'!$B$11,1),1)</f>
        <v>55.1</v>
      </c>
      <c r="C77" s="35" t="str">
        <f aca="false">IF(AND(H77&lt;='Search Criteria'!$B$5,D77&gt;='Search Criteria'!$B$6,AQ77&lt;='Search Criteria'!$B$7,I77&lt;=INDEX('Search Criteria'!$B$18:$B$20,MATCH(E77,'Search Criteria'!$A$18:$A$20,0)),OR(NOT('Search Criteria'!$B$8),L77&lt;&gt;"FWD"),OR(NOT('Search Criteria'!$B$9),T77="Yes"),OR(NOT('Search Criteria'!$B$10),W77&gt;0),OR(NOT('Search Criteria'!$B$11),X77="Yes"),OR(NOT('Search Criteria'!$B$12),O77="GREAT",O77="GOOD"),OR(NOT('Search Criteria'!$B$13),K77="Yes")),"YES","no")</f>
        <v>YES</v>
      </c>
      <c r="D77" s="33" t="n">
        <v>2022</v>
      </c>
      <c r="E77" s="8" t="s">
        <v>92</v>
      </c>
      <c r="F77" s="8" t="s">
        <v>235</v>
      </c>
      <c r="G77" s="8" t="s">
        <v>475</v>
      </c>
      <c r="H77" s="45" t="n">
        <v>38104</v>
      </c>
      <c r="I77" s="46" t="n">
        <v>78455</v>
      </c>
      <c r="J77" s="37" t="n">
        <f aca="false">IFERROR(ROUND(I77/MAX(2026-D77,0.5),0),"")</f>
        <v>19614</v>
      </c>
      <c r="K77" s="35" t="s">
        <v>259</v>
      </c>
      <c r="L77" s="35" t="s">
        <v>476</v>
      </c>
      <c r="M77" s="35" t="s">
        <v>257</v>
      </c>
      <c r="N77" s="33" t="n">
        <v>17</v>
      </c>
      <c r="O77" s="35" t="s">
        <v>258</v>
      </c>
      <c r="P77" s="45"/>
      <c r="Q77" s="38"/>
      <c r="R77" s="35" t="s">
        <v>258</v>
      </c>
      <c r="S77" s="45" t="n">
        <v>220</v>
      </c>
      <c r="T77" s="35" t="s">
        <v>255</v>
      </c>
      <c r="U77" s="33" t="n">
        <v>1</v>
      </c>
      <c r="V77" s="35" t="s">
        <v>259</v>
      </c>
      <c r="W77" s="33" t="n">
        <v>17</v>
      </c>
      <c r="X77" s="35" t="s">
        <v>255</v>
      </c>
      <c r="Y77" s="35" t="s">
        <v>255</v>
      </c>
      <c r="Z77" s="35" t="s">
        <v>259</v>
      </c>
      <c r="AA77" s="35" t="s">
        <v>255</v>
      </c>
      <c r="AB77" s="35" t="s">
        <v>255</v>
      </c>
      <c r="AC77" s="35" t="s">
        <v>259</v>
      </c>
      <c r="AD77" s="35" t="s">
        <v>259</v>
      </c>
      <c r="AE77" s="35" t="s">
        <v>259</v>
      </c>
      <c r="AF77" s="35" t="s">
        <v>255</v>
      </c>
      <c r="AG77" s="35" t="s">
        <v>259</v>
      </c>
      <c r="AH77" s="35" t="s">
        <v>259</v>
      </c>
      <c r="AI77" s="35" t="s">
        <v>255</v>
      </c>
      <c r="AJ77" s="35" t="s">
        <v>259</v>
      </c>
      <c r="AK77" s="8" t="s">
        <v>292</v>
      </c>
      <c r="AL77" s="8" t="s">
        <v>261</v>
      </c>
      <c r="AM77" s="8" t="s">
        <v>477</v>
      </c>
      <c r="AN77" s="8" t="s">
        <v>312</v>
      </c>
      <c r="AO77" s="8" t="s">
        <v>280</v>
      </c>
      <c r="AP77" s="35" t="s">
        <v>265</v>
      </c>
      <c r="AQ77" s="39" t="n">
        <v>11</v>
      </c>
      <c r="AR77" s="39" t="n">
        <v>4.2</v>
      </c>
      <c r="AS77" s="33" t="n">
        <v>20</v>
      </c>
      <c r="AT77" s="45"/>
      <c r="AU77" s="45" t="n">
        <v>680.67</v>
      </c>
      <c r="AV77" s="45" t="n">
        <v>261</v>
      </c>
      <c r="AW77" s="39" t="n">
        <v>94.4</v>
      </c>
      <c r="AX77" s="39" t="n">
        <v>82.9</v>
      </c>
      <c r="AY77" s="39" t="n">
        <v>15.1</v>
      </c>
      <c r="AZ77" s="39" t="n">
        <v>38</v>
      </c>
      <c r="BA77" s="39" t="n">
        <v>0</v>
      </c>
      <c r="BB77" s="39" t="n">
        <v>85.3</v>
      </c>
      <c r="BC77" s="8" t="s">
        <v>478</v>
      </c>
      <c r="BD77" s="47" t="s">
        <v>479</v>
      </c>
      <c r="BE77" s="41" t="s">
        <v>181</v>
      </c>
    </row>
    <row r="78" customFormat="false" ht="15" hidden="false" customHeight="false" outlineLevel="0" collapsed="false">
      <c r="A78" s="33" t="n">
        <f aca="false">RANK(B78,$B$5:$B$266)</f>
        <v>74</v>
      </c>
      <c r="B78" s="34" t="n">
        <f aca="false">ROUND((AW78*'Scoring Weights'!$B$5+AX78*'Scoring Weights'!$B$6+AY78*'Scoring Weights'!$B$7+BA78*'Scoring Weights'!$B$8+AZ78*'Scoring Weights'!$B$9+BB78*'Scoring Weights'!$B$10)/MAX('Scoring Weights'!$B$11,1),1)</f>
        <v>54.5</v>
      </c>
      <c r="C78" s="35" t="str">
        <f aca="false">IF(AND(H78&lt;='Search Criteria'!$B$5,D78&gt;='Search Criteria'!$B$6,AQ78&lt;='Search Criteria'!$B$7,I78&lt;=INDEX('Search Criteria'!$B$18:$B$20,MATCH(E78,'Search Criteria'!$A$18:$A$20,0)),OR(NOT('Search Criteria'!$B$8),L78&lt;&gt;"FWD"),OR(NOT('Search Criteria'!$B$9),T78="Yes"),OR(NOT('Search Criteria'!$B$10),W78&gt;0),OR(NOT('Search Criteria'!$B$11),X78="Yes"),OR(NOT('Search Criteria'!$B$12),O78="GREAT",O78="GOOD"),OR(NOT('Search Criteria'!$B$13),K78="Yes")),"YES","no")</f>
        <v>YES</v>
      </c>
      <c r="D78" s="33" t="n">
        <v>2025</v>
      </c>
      <c r="E78" s="8" t="s">
        <v>94</v>
      </c>
      <c r="F78" s="8" t="s">
        <v>232</v>
      </c>
      <c r="G78" s="8" t="s">
        <v>268</v>
      </c>
      <c r="H78" s="45" t="n">
        <v>30814</v>
      </c>
      <c r="I78" s="46" t="n">
        <v>38801</v>
      </c>
      <c r="J78" s="37" t="n">
        <f aca="false">IFERROR(ROUND(I78/MAX(2026-D78,0.5),0),"")</f>
        <v>38801</v>
      </c>
      <c r="K78" s="35" t="s">
        <v>259</v>
      </c>
      <c r="L78" s="35" t="s">
        <v>256</v>
      </c>
      <c r="M78" s="35" t="s">
        <v>257</v>
      </c>
      <c r="N78" s="33" t="n">
        <v>28</v>
      </c>
      <c r="O78" s="35" t="s">
        <v>258</v>
      </c>
      <c r="P78" s="45" t="n">
        <v>33364</v>
      </c>
      <c r="Q78" s="38" t="n">
        <v>0.076</v>
      </c>
      <c r="R78" s="35" t="s">
        <v>258</v>
      </c>
      <c r="S78" s="45" t="n">
        <v>370</v>
      </c>
      <c r="T78" s="35" t="s">
        <v>255</v>
      </c>
      <c r="U78" s="33" t="n">
        <v>1</v>
      </c>
      <c r="V78" s="35" t="s">
        <v>255</v>
      </c>
      <c r="W78" s="33" t="n">
        <v>7</v>
      </c>
      <c r="X78" s="35" t="s">
        <v>255</v>
      </c>
      <c r="Y78" s="35" t="s">
        <v>255</v>
      </c>
      <c r="Z78" s="35" t="s">
        <v>259</v>
      </c>
      <c r="AA78" s="35" t="s">
        <v>255</v>
      </c>
      <c r="AB78" s="35" t="s">
        <v>255</v>
      </c>
      <c r="AC78" s="35" t="s">
        <v>259</v>
      </c>
      <c r="AD78" s="35" t="s">
        <v>259</v>
      </c>
      <c r="AE78" s="35" t="s">
        <v>259</v>
      </c>
      <c r="AF78" s="35" t="s">
        <v>259</v>
      </c>
      <c r="AG78" s="35" t="s">
        <v>259</v>
      </c>
      <c r="AH78" s="35" t="s">
        <v>259</v>
      </c>
      <c r="AI78" s="35" t="s">
        <v>255</v>
      </c>
      <c r="AJ78" s="35" t="s">
        <v>259</v>
      </c>
      <c r="AK78" s="8" t="s">
        <v>292</v>
      </c>
      <c r="AL78" s="8" t="s">
        <v>261</v>
      </c>
      <c r="AM78" s="8" t="s">
        <v>262</v>
      </c>
      <c r="AN78" s="8" t="s">
        <v>480</v>
      </c>
      <c r="AO78" s="8" t="s">
        <v>271</v>
      </c>
      <c r="AP78" s="35" t="s">
        <v>272</v>
      </c>
      <c r="AQ78" s="39" t="n">
        <v>74.5</v>
      </c>
      <c r="AR78" s="39" t="n">
        <v>4.6</v>
      </c>
      <c r="AS78" s="33" t="n">
        <v>58</v>
      </c>
      <c r="AT78" s="45"/>
      <c r="AU78" s="45" t="n">
        <v>550.45</v>
      </c>
      <c r="AV78" s="45" t="n">
        <v>314</v>
      </c>
      <c r="AW78" s="39" t="n">
        <v>96.4</v>
      </c>
      <c r="AX78" s="39" t="n">
        <v>89</v>
      </c>
      <c r="AY78" s="39" t="n">
        <v>31.2</v>
      </c>
      <c r="AZ78" s="39" t="n">
        <v>30</v>
      </c>
      <c r="BA78" s="39" t="n">
        <v>0</v>
      </c>
      <c r="BB78" s="39" t="n">
        <v>0.7</v>
      </c>
      <c r="BC78" s="8" t="s">
        <v>481</v>
      </c>
      <c r="BD78" s="47" t="s">
        <v>274</v>
      </c>
      <c r="BE78" s="41" t="s">
        <v>182</v>
      </c>
    </row>
    <row r="79" customFormat="false" ht="15" hidden="false" customHeight="false" outlineLevel="0" collapsed="false">
      <c r="A79" s="33" t="n">
        <f aca="false">RANK(B79,$B$5:$B$266)</f>
        <v>75</v>
      </c>
      <c r="B79" s="34" t="n">
        <f aca="false">ROUND((AW79*'Scoring Weights'!$B$5+AX79*'Scoring Weights'!$B$6+AY79*'Scoring Weights'!$B$7+BA79*'Scoring Weights'!$B$8+AZ79*'Scoring Weights'!$B$9+BB79*'Scoring Weights'!$B$10)/MAX('Scoring Weights'!$B$11,1),1)</f>
        <v>54.4</v>
      </c>
      <c r="C79" s="35" t="str">
        <f aca="false">IF(AND(H79&lt;='Search Criteria'!$B$5,D79&gt;='Search Criteria'!$B$6,AQ79&lt;='Search Criteria'!$B$7,I79&lt;=INDEX('Search Criteria'!$B$18:$B$20,MATCH(E79,'Search Criteria'!$A$18:$A$20,0)),OR(NOT('Search Criteria'!$B$8),L79&lt;&gt;"FWD"),OR(NOT('Search Criteria'!$B$9),T79="Yes"),OR(NOT('Search Criteria'!$B$10),W79&gt;0),OR(NOT('Search Criteria'!$B$11),X79="Yes"),OR(NOT('Search Criteria'!$B$12),O79="GREAT",O79="GOOD"),OR(NOT('Search Criteria'!$B$13),K79="Yes")),"YES","no")</f>
        <v>no</v>
      </c>
      <c r="D79" s="33" t="n">
        <v>2024</v>
      </c>
      <c r="E79" s="8" t="s">
        <v>92</v>
      </c>
      <c r="F79" s="8" t="s">
        <v>236</v>
      </c>
      <c r="G79" s="8" t="s">
        <v>338</v>
      </c>
      <c r="H79" s="45" t="n">
        <v>26946</v>
      </c>
      <c r="I79" s="46" t="n">
        <v>53822</v>
      </c>
      <c r="J79" s="37" t="n">
        <f aca="false">IFERROR(ROUND(I79/MAX(2026-D79,0.5),0),"")</f>
        <v>26911</v>
      </c>
      <c r="K79" s="35" t="s">
        <v>259</v>
      </c>
      <c r="L79" s="35" t="s">
        <v>256</v>
      </c>
      <c r="M79" s="35" t="s">
        <v>257</v>
      </c>
      <c r="N79" s="33" t="n">
        <v>30</v>
      </c>
      <c r="O79" s="35" t="s">
        <v>258</v>
      </c>
      <c r="P79" s="45" t="n">
        <v>31680</v>
      </c>
      <c r="Q79" s="38" t="n">
        <v>0.149</v>
      </c>
      <c r="R79" s="35" t="s">
        <v>258</v>
      </c>
      <c r="S79" s="45" t="n">
        <v>340</v>
      </c>
      <c r="T79" s="35" t="s">
        <v>255</v>
      </c>
      <c r="U79" s="33" t="n">
        <v>1</v>
      </c>
      <c r="V79" s="35" t="s">
        <v>259</v>
      </c>
      <c r="W79" s="33" t="n">
        <v>3</v>
      </c>
      <c r="X79" s="35" t="s">
        <v>259</v>
      </c>
      <c r="Y79" s="35" t="s">
        <v>255</v>
      </c>
      <c r="Z79" s="35" t="s">
        <v>259</v>
      </c>
      <c r="AA79" s="35" t="s">
        <v>259</v>
      </c>
      <c r="AB79" s="35" t="s">
        <v>259</v>
      </c>
      <c r="AC79" s="35" t="s">
        <v>259</v>
      </c>
      <c r="AD79" s="35" t="s">
        <v>259</v>
      </c>
      <c r="AE79" s="35" t="s">
        <v>259</v>
      </c>
      <c r="AF79" s="35" t="s">
        <v>259</v>
      </c>
      <c r="AG79" s="35" t="s">
        <v>259</v>
      </c>
      <c r="AH79" s="35" t="s">
        <v>259</v>
      </c>
      <c r="AI79" s="35" t="s">
        <v>259</v>
      </c>
      <c r="AJ79" s="35" t="s">
        <v>259</v>
      </c>
      <c r="AK79" s="8" t="s">
        <v>292</v>
      </c>
      <c r="AL79" s="8" t="s">
        <v>261</v>
      </c>
      <c r="AM79" s="8" t="s">
        <v>278</v>
      </c>
      <c r="AN79" s="8" t="s">
        <v>349</v>
      </c>
      <c r="AO79" s="8" t="s">
        <v>280</v>
      </c>
      <c r="AP79" s="35" t="s">
        <v>265</v>
      </c>
      <c r="AQ79" s="39" t="n">
        <v>10.7</v>
      </c>
      <c r="AR79" s="39" t="n">
        <v>4.6</v>
      </c>
      <c r="AS79" s="33" t="n">
        <v>50</v>
      </c>
      <c r="AT79" s="45" t="n">
        <v>2053</v>
      </c>
      <c r="AU79" s="45" t="n">
        <v>481.35</v>
      </c>
      <c r="AV79" s="45" t="n">
        <v>250</v>
      </c>
      <c r="AW79" s="39" t="n">
        <v>86</v>
      </c>
      <c r="AX79" s="39" t="n">
        <v>99.9</v>
      </c>
      <c r="AY79" s="39" t="n">
        <v>32.3</v>
      </c>
      <c r="AZ79" s="39" t="n">
        <v>0</v>
      </c>
      <c r="BA79" s="39" t="n">
        <v>0</v>
      </c>
      <c r="BB79" s="39" t="n">
        <v>85.7</v>
      </c>
      <c r="BC79" s="8" t="s">
        <v>482</v>
      </c>
      <c r="BD79" s="47" t="s">
        <v>346</v>
      </c>
      <c r="BE79" s="41" t="s">
        <v>483</v>
      </c>
    </row>
    <row r="80" customFormat="false" ht="15" hidden="false" customHeight="false" outlineLevel="0" collapsed="false">
      <c r="A80" s="33" t="n">
        <f aca="false">RANK(B80,$B$5:$B$266)</f>
        <v>75</v>
      </c>
      <c r="B80" s="34" t="n">
        <f aca="false">ROUND((AW80*'Scoring Weights'!$B$5+AX80*'Scoring Weights'!$B$6+AY80*'Scoring Weights'!$B$7+BA80*'Scoring Weights'!$B$8+AZ80*'Scoring Weights'!$B$9+BB80*'Scoring Weights'!$B$10)/MAX('Scoring Weights'!$B$11,1),1)</f>
        <v>54.4</v>
      </c>
      <c r="C80" s="35" t="str">
        <f aca="false">IF(AND(H80&lt;='Search Criteria'!$B$5,D80&gt;='Search Criteria'!$B$6,AQ80&lt;='Search Criteria'!$B$7,I80&lt;=INDEX('Search Criteria'!$B$18:$B$20,MATCH(E80,'Search Criteria'!$A$18:$A$20,0)),OR(NOT('Search Criteria'!$B$8),L80&lt;&gt;"FWD"),OR(NOT('Search Criteria'!$B$9),T80="Yes"),OR(NOT('Search Criteria'!$B$10),W80&gt;0),OR(NOT('Search Criteria'!$B$11),X80="Yes"),OR(NOT('Search Criteria'!$B$12),O80="GREAT",O80="GOOD"),OR(NOT('Search Criteria'!$B$13),K80="Yes")),"YES","no")</f>
        <v>no</v>
      </c>
      <c r="D80" s="33" t="n">
        <v>2024</v>
      </c>
      <c r="E80" s="8" t="s">
        <v>94</v>
      </c>
      <c r="F80" s="8" t="s">
        <v>233</v>
      </c>
      <c r="G80" s="8" t="s">
        <v>319</v>
      </c>
      <c r="H80" s="45" t="n">
        <v>26738</v>
      </c>
      <c r="I80" s="46" t="n">
        <v>7365</v>
      </c>
      <c r="J80" s="37" t="n">
        <f aca="false">IFERROR(ROUND(I80/MAX(2026-D80,0.5),0),"")</f>
        <v>3683</v>
      </c>
      <c r="K80" s="35" t="s">
        <v>259</v>
      </c>
      <c r="L80" s="35" t="s">
        <v>256</v>
      </c>
      <c r="M80" s="35" t="s">
        <v>257</v>
      </c>
      <c r="N80" s="33" t="n">
        <v>27</v>
      </c>
      <c r="O80" s="35" t="s">
        <v>297</v>
      </c>
      <c r="P80" s="45" t="n">
        <v>27847</v>
      </c>
      <c r="Q80" s="38" t="n">
        <v>0.04</v>
      </c>
      <c r="R80" s="35" t="s">
        <v>258</v>
      </c>
      <c r="S80" s="45" t="n">
        <v>560</v>
      </c>
      <c r="T80" s="35" t="s">
        <v>255</v>
      </c>
      <c r="U80" s="33" t="n">
        <v>1</v>
      </c>
      <c r="V80" s="35" t="s">
        <v>255</v>
      </c>
      <c r="W80" s="33" t="n">
        <v>5</v>
      </c>
      <c r="X80" s="35" t="s">
        <v>259</v>
      </c>
      <c r="Y80" s="35" t="s">
        <v>255</v>
      </c>
      <c r="Z80" s="35" t="s">
        <v>259</v>
      </c>
      <c r="AA80" s="35" t="s">
        <v>259</v>
      </c>
      <c r="AB80" s="35" t="s">
        <v>259</v>
      </c>
      <c r="AC80" s="35" t="s">
        <v>259</v>
      </c>
      <c r="AD80" s="35" t="s">
        <v>259</v>
      </c>
      <c r="AE80" s="35" t="s">
        <v>259</v>
      </c>
      <c r="AF80" s="35" t="s">
        <v>259</v>
      </c>
      <c r="AG80" s="35" t="s">
        <v>259</v>
      </c>
      <c r="AH80" s="35" t="s">
        <v>259</v>
      </c>
      <c r="AI80" s="35" t="s">
        <v>259</v>
      </c>
      <c r="AJ80" s="35" t="s">
        <v>259</v>
      </c>
      <c r="AK80" s="8" t="s">
        <v>292</v>
      </c>
      <c r="AL80" s="8" t="s">
        <v>260</v>
      </c>
      <c r="AM80" s="8" t="s">
        <v>303</v>
      </c>
      <c r="AN80" s="8" t="s">
        <v>484</v>
      </c>
      <c r="AO80" s="8" t="s">
        <v>485</v>
      </c>
      <c r="AP80" s="35" t="s">
        <v>265</v>
      </c>
      <c r="AQ80" s="39" t="n">
        <v>53</v>
      </c>
      <c r="AR80" s="39" t="n">
        <v>4.4</v>
      </c>
      <c r="AS80" s="33" t="n">
        <v>47</v>
      </c>
      <c r="AT80" s="45" t="n">
        <v>5</v>
      </c>
      <c r="AU80" s="45" t="n">
        <v>477.64</v>
      </c>
      <c r="AV80" s="45" t="n">
        <v>261</v>
      </c>
      <c r="AW80" s="39" t="n">
        <v>89.8</v>
      </c>
      <c r="AX80" s="39" t="n">
        <v>58.7</v>
      </c>
      <c r="AY80" s="39" t="n">
        <v>92.6</v>
      </c>
      <c r="AZ80" s="39" t="n">
        <v>0</v>
      </c>
      <c r="BA80" s="39" t="n">
        <v>0</v>
      </c>
      <c r="BB80" s="39" t="n">
        <v>29.3</v>
      </c>
      <c r="BC80" s="8" t="s">
        <v>486</v>
      </c>
      <c r="BD80" s="47" t="s">
        <v>323</v>
      </c>
      <c r="BE80" s="41" t="s">
        <v>487</v>
      </c>
    </row>
    <row r="81" customFormat="false" ht="15" hidden="false" customHeight="false" outlineLevel="0" collapsed="false">
      <c r="A81" s="33" t="n">
        <f aca="false">RANK(B81,$B$5:$B$266)</f>
        <v>77</v>
      </c>
      <c r="B81" s="34" t="n">
        <f aca="false">ROUND((AW81*'Scoring Weights'!$B$5+AX81*'Scoring Weights'!$B$6+AY81*'Scoring Weights'!$B$7+BA81*'Scoring Weights'!$B$8+AZ81*'Scoring Weights'!$B$9+BB81*'Scoring Weights'!$B$10)/MAX('Scoring Weights'!$B$11,1),1)</f>
        <v>54.3</v>
      </c>
      <c r="C81" s="35" t="str">
        <f aca="false">IF(AND(H81&lt;='Search Criteria'!$B$5,D81&gt;='Search Criteria'!$B$6,AQ81&lt;='Search Criteria'!$B$7,I81&lt;=INDEX('Search Criteria'!$B$18:$B$20,MATCH(E81,'Search Criteria'!$A$18:$A$20,0)),OR(NOT('Search Criteria'!$B$8),L81&lt;&gt;"FWD"),OR(NOT('Search Criteria'!$B$9),T81="Yes"),OR(NOT('Search Criteria'!$B$10),W81&gt;0),OR(NOT('Search Criteria'!$B$11),X81="Yes"),OR(NOT('Search Criteria'!$B$12),O81="GREAT",O81="GOOD"),OR(NOT('Search Criteria'!$B$13),K81="Yes")),"YES","no")</f>
        <v>no</v>
      </c>
      <c r="D81" s="33" t="n">
        <v>2026</v>
      </c>
      <c r="E81" s="8" t="s">
        <v>94</v>
      </c>
      <c r="F81" s="8" t="s">
        <v>232</v>
      </c>
      <c r="G81" s="8" t="s">
        <v>311</v>
      </c>
      <c r="H81" s="45" t="n">
        <v>37990</v>
      </c>
      <c r="I81" s="46" t="n">
        <v>25209</v>
      </c>
      <c r="J81" s="37" t="n">
        <f aca="false">IFERROR(ROUND(I81/MAX(2026-D81,0.5),0),"")</f>
        <v>50418</v>
      </c>
      <c r="K81" s="35" t="s">
        <v>259</v>
      </c>
      <c r="L81" s="35" t="s">
        <v>256</v>
      </c>
      <c r="M81" s="35" t="s">
        <v>302</v>
      </c>
      <c r="N81" s="33" t="n">
        <v>35</v>
      </c>
      <c r="O81" s="35" t="s">
        <v>276</v>
      </c>
      <c r="P81" s="45" t="n">
        <v>35441</v>
      </c>
      <c r="Q81" s="38" t="n">
        <v>-0.072</v>
      </c>
      <c r="R81" s="35" t="s">
        <v>277</v>
      </c>
      <c r="S81" s="45"/>
      <c r="T81" s="35" t="s">
        <v>255</v>
      </c>
      <c r="U81" s="33" t="n">
        <v>1</v>
      </c>
      <c r="V81" s="35" t="s">
        <v>255</v>
      </c>
      <c r="W81" s="33" t="n">
        <v>2</v>
      </c>
      <c r="X81" s="35" t="s">
        <v>255</v>
      </c>
      <c r="Y81" s="35" t="s">
        <v>255</v>
      </c>
      <c r="Z81" s="35" t="s">
        <v>255</v>
      </c>
      <c r="AA81" s="35" t="s">
        <v>255</v>
      </c>
      <c r="AB81" s="35" t="s">
        <v>255</v>
      </c>
      <c r="AC81" s="35" t="s">
        <v>255</v>
      </c>
      <c r="AD81" s="35" t="s">
        <v>255</v>
      </c>
      <c r="AE81" s="35" t="s">
        <v>255</v>
      </c>
      <c r="AF81" s="35" t="s">
        <v>259</v>
      </c>
      <c r="AG81" s="35" t="s">
        <v>255</v>
      </c>
      <c r="AH81" s="35" t="s">
        <v>259</v>
      </c>
      <c r="AI81" s="35" t="s">
        <v>255</v>
      </c>
      <c r="AJ81" s="35" t="s">
        <v>259</v>
      </c>
      <c r="AK81" s="8" t="s">
        <v>292</v>
      </c>
      <c r="AL81" s="8" t="s">
        <v>261</v>
      </c>
      <c r="AM81" s="8" t="s">
        <v>303</v>
      </c>
      <c r="AN81" s="8" t="s">
        <v>320</v>
      </c>
      <c r="AO81" s="8" t="s">
        <v>321</v>
      </c>
      <c r="AP81" s="35" t="s">
        <v>272</v>
      </c>
      <c r="AQ81" s="39" t="n">
        <v>56.8</v>
      </c>
      <c r="AR81" s="39" t="n">
        <v>4.5</v>
      </c>
      <c r="AS81" s="33" t="n">
        <v>2</v>
      </c>
      <c r="AT81" s="45"/>
      <c r="AU81" s="45" t="n">
        <v>678.64</v>
      </c>
      <c r="AV81" s="45" t="n">
        <v>314</v>
      </c>
      <c r="AW81" s="39" t="n">
        <v>90.4</v>
      </c>
      <c r="AX81" s="39" t="n">
        <v>45.8</v>
      </c>
      <c r="AY81" s="39" t="n">
        <v>44.8</v>
      </c>
      <c r="AZ81" s="39" t="n">
        <v>82</v>
      </c>
      <c r="BA81" s="39" t="n">
        <v>0</v>
      </c>
      <c r="BB81" s="39" t="n">
        <v>24.3</v>
      </c>
      <c r="BC81" s="8" t="s">
        <v>488</v>
      </c>
      <c r="BD81" s="47" t="s">
        <v>267</v>
      </c>
      <c r="BE81" s="41" t="s">
        <v>489</v>
      </c>
    </row>
    <row r="82" customFormat="false" ht="15" hidden="false" customHeight="false" outlineLevel="0" collapsed="false">
      <c r="A82" s="33" t="n">
        <f aca="false">RANK(B82,$B$5:$B$266)</f>
        <v>77</v>
      </c>
      <c r="B82" s="34" t="n">
        <f aca="false">ROUND((AW82*'Scoring Weights'!$B$5+AX82*'Scoring Weights'!$B$6+AY82*'Scoring Weights'!$B$7+BA82*'Scoring Weights'!$B$8+AZ82*'Scoring Weights'!$B$9+BB82*'Scoring Weights'!$B$10)/MAX('Scoring Weights'!$B$11,1),1)</f>
        <v>54.3</v>
      </c>
      <c r="C82" s="35" t="str">
        <f aca="false">IF(AND(H82&lt;='Search Criteria'!$B$5,D82&gt;='Search Criteria'!$B$6,AQ82&lt;='Search Criteria'!$B$7,I82&lt;=INDEX('Search Criteria'!$B$18:$B$20,MATCH(E82,'Search Criteria'!$A$18:$A$20,0)),OR(NOT('Search Criteria'!$B$8),L82&lt;&gt;"FWD"),OR(NOT('Search Criteria'!$B$9),T82="Yes"),OR(NOT('Search Criteria'!$B$10),W82&gt;0),OR(NOT('Search Criteria'!$B$11),X82="Yes"),OR(NOT('Search Criteria'!$B$12),O82="GREAT",O82="GOOD"),OR(NOT('Search Criteria'!$B$13),K82="Yes")),"YES","no")</f>
        <v>no</v>
      </c>
      <c r="D82" s="33" t="n">
        <v>2025</v>
      </c>
      <c r="E82" s="8" t="s">
        <v>92</v>
      </c>
      <c r="F82" s="8" t="s">
        <v>236</v>
      </c>
      <c r="G82" s="8" t="s">
        <v>296</v>
      </c>
      <c r="H82" s="45" t="n">
        <v>30268</v>
      </c>
      <c r="I82" s="46" t="n">
        <v>35816</v>
      </c>
      <c r="J82" s="37" t="n">
        <f aca="false">IFERROR(ROUND(I82/MAX(2026-D82,0.5),0),"")</f>
        <v>35816</v>
      </c>
      <c r="K82" s="35" t="s">
        <v>259</v>
      </c>
      <c r="L82" s="35" t="s">
        <v>285</v>
      </c>
      <c r="M82" s="35" t="s">
        <v>257</v>
      </c>
      <c r="N82" s="33" t="n">
        <v>30</v>
      </c>
      <c r="O82" s="35" t="s">
        <v>258</v>
      </c>
      <c r="P82" s="45" t="n">
        <v>34312</v>
      </c>
      <c r="Q82" s="38" t="n">
        <v>0.118</v>
      </c>
      <c r="R82" s="35" t="s">
        <v>258</v>
      </c>
      <c r="S82" s="45" t="n">
        <v>360</v>
      </c>
      <c r="T82" s="35" t="s">
        <v>255</v>
      </c>
      <c r="U82" s="33" t="n">
        <v>1</v>
      </c>
      <c r="V82" s="35" t="s">
        <v>259</v>
      </c>
      <c r="W82" s="33" t="n">
        <v>2</v>
      </c>
      <c r="X82" s="35" t="s">
        <v>259</v>
      </c>
      <c r="Y82" s="35" t="s">
        <v>255</v>
      </c>
      <c r="Z82" s="35" t="s">
        <v>259</v>
      </c>
      <c r="AA82" s="35" t="s">
        <v>259</v>
      </c>
      <c r="AB82" s="35" t="s">
        <v>255</v>
      </c>
      <c r="AC82" s="35" t="s">
        <v>259</v>
      </c>
      <c r="AD82" s="35" t="s">
        <v>259</v>
      </c>
      <c r="AE82" s="35" t="s">
        <v>259</v>
      </c>
      <c r="AF82" s="35" t="s">
        <v>259</v>
      </c>
      <c r="AG82" s="35" t="s">
        <v>259</v>
      </c>
      <c r="AH82" s="35" t="s">
        <v>259</v>
      </c>
      <c r="AI82" s="35" t="s">
        <v>255</v>
      </c>
      <c r="AJ82" s="35" t="s">
        <v>259</v>
      </c>
      <c r="AK82" s="8" t="s">
        <v>309</v>
      </c>
      <c r="AL82" s="8" t="s">
        <v>261</v>
      </c>
      <c r="AM82" s="8" t="s">
        <v>278</v>
      </c>
      <c r="AN82" s="8" t="s">
        <v>384</v>
      </c>
      <c r="AO82" s="8" t="s">
        <v>340</v>
      </c>
      <c r="AP82" s="35" t="s">
        <v>265</v>
      </c>
      <c r="AQ82" s="39" t="n">
        <v>59.8</v>
      </c>
      <c r="AR82" s="39" t="n">
        <v>4.8</v>
      </c>
      <c r="AS82" s="33" t="n">
        <v>80</v>
      </c>
      <c r="AT82" s="45" t="n">
        <v>2932</v>
      </c>
      <c r="AU82" s="45" t="n">
        <v>540.69</v>
      </c>
      <c r="AV82" s="45" t="n">
        <v>268</v>
      </c>
      <c r="AW82" s="39" t="n">
        <v>84.8</v>
      </c>
      <c r="AX82" s="39" t="n">
        <v>95.2</v>
      </c>
      <c r="AY82" s="39" t="n">
        <v>44.9</v>
      </c>
      <c r="AZ82" s="39" t="n">
        <v>16</v>
      </c>
      <c r="BA82" s="39" t="n">
        <v>0</v>
      </c>
      <c r="BB82" s="39" t="n">
        <v>20.3</v>
      </c>
      <c r="BC82" s="8" t="s">
        <v>490</v>
      </c>
      <c r="BD82" s="47" t="s">
        <v>290</v>
      </c>
      <c r="BE82" s="41" t="s">
        <v>491</v>
      </c>
    </row>
    <row r="83" customFormat="false" ht="15" hidden="false" customHeight="false" outlineLevel="0" collapsed="false">
      <c r="A83" s="33" t="n">
        <f aca="false">RANK(B83,$B$5:$B$266)</f>
        <v>77</v>
      </c>
      <c r="B83" s="34" t="n">
        <f aca="false">ROUND((AW83*'Scoring Weights'!$B$5+AX83*'Scoring Weights'!$B$6+AY83*'Scoring Weights'!$B$7+BA83*'Scoring Weights'!$B$8+AZ83*'Scoring Weights'!$B$9+BB83*'Scoring Weights'!$B$10)/MAX('Scoring Weights'!$B$11,1),1)</f>
        <v>54.3</v>
      </c>
      <c r="C83" s="35" t="str">
        <f aca="false">IF(AND(H83&lt;='Search Criteria'!$B$5,D83&gt;='Search Criteria'!$B$6,AQ83&lt;='Search Criteria'!$B$7,I83&lt;=INDEX('Search Criteria'!$B$18:$B$20,MATCH(E83,'Search Criteria'!$A$18:$A$20,0)),OR(NOT('Search Criteria'!$B$8),L83&lt;&gt;"FWD"),OR(NOT('Search Criteria'!$B$9),T83="Yes"),OR(NOT('Search Criteria'!$B$10),W83&gt;0),OR(NOT('Search Criteria'!$B$11),X83="Yes"),OR(NOT('Search Criteria'!$B$12),O83="GREAT",O83="GOOD"),OR(NOT('Search Criteria'!$B$13),K83="Yes")),"YES","no")</f>
        <v>YES</v>
      </c>
      <c r="D83" s="33" t="n">
        <v>2022</v>
      </c>
      <c r="E83" s="8" t="s">
        <v>94</v>
      </c>
      <c r="F83" s="8" t="s">
        <v>232</v>
      </c>
      <c r="G83" s="8" t="s">
        <v>254</v>
      </c>
      <c r="H83" s="45" t="n">
        <v>28212</v>
      </c>
      <c r="I83" s="46" t="n">
        <v>54671</v>
      </c>
      <c r="J83" s="37" t="n">
        <f aca="false">IFERROR(ROUND(I83/MAX(2026-D83,0.5),0),"")</f>
        <v>13668</v>
      </c>
      <c r="K83" s="35" t="s">
        <v>259</v>
      </c>
      <c r="L83" s="35" t="s">
        <v>256</v>
      </c>
      <c r="M83" s="35" t="s">
        <v>302</v>
      </c>
      <c r="N83" s="33" t="n">
        <v>38</v>
      </c>
      <c r="O83" s="35" t="s">
        <v>286</v>
      </c>
      <c r="P83" s="45" t="n">
        <v>28853</v>
      </c>
      <c r="Q83" s="38" t="n">
        <v>0.022</v>
      </c>
      <c r="R83" s="35" t="s">
        <v>286</v>
      </c>
      <c r="S83" s="45" t="n">
        <v>100</v>
      </c>
      <c r="T83" s="35" t="s">
        <v>255</v>
      </c>
      <c r="U83" s="33" t="n">
        <v>2</v>
      </c>
      <c r="V83" s="35" t="s">
        <v>255</v>
      </c>
      <c r="W83" s="33" t="n">
        <v>17</v>
      </c>
      <c r="X83" s="35" t="s">
        <v>255</v>
      </c>
      <c r="Y83" s="35" t="s">
        <v>255</v>
      </c>
      <c r="Z83" s="35" t="s">
        <v>255</v>
      </c>
      <c r="AA83" s="35" t="s">
        <v>255</v>
      </c>
      <c r="AB83" s="35" t="s">
        <v>255</v>
      </c>
      <c r="AC83" s="35" t="s">
        <v>255</v>
      </c>
      <c r="AD83" s="35" t="s">
        <v>255</v>
      </c>
      <c r="AE83" s="35" t="s">
        <v>255</v>
      </c>
      <c r="AF83" s="35" t="s">
        <v>259</v>
      </c>
      <c r="AG83" s="35" t="s">
        <v>259</v>
      </c>
      <c r="AH83" s="35" t="s">
        <v>259</v>
      </c>
      <c r="AI83" s="35" t="s">
        <v>255</v>
      </c>
      <c r="AJ83" s="35" t="s">
        <v>259</v>
      </c>
      <c r="AK83" s="8" t="s">
        <v>292</v>
      </c>
      <c r="AL83" s="8" t="s">
        <v>292</v>
      </c>
      <c r="AM83" s="8" t="s">
        <v>303</v>
      </c>
      <c r="AN83" s="8" t="s">
        <v>312</v>
      </c>
      <c r="AO83" s="8" t="s">
        <v>280</v>
      </c>
      <c r="AP83" s="35" t="s">
        <v>265</v>
      </c>
      <c r="AQ83" s="39" t="n">
        <v>11</v>
      </c>
      <c r="AR83" s="39" t="n">
        <v>4.2</v>
      </c>
      <c r="AS83" s="33" t="n">
        <v>32</v>
      </c>
      <c r="AT83" s="45" t="n">
        <v>944</v>
      </c>
      <c r="AU83" s="45" t="n">
        <v>503.97</v>
      </c>
      <c r="AV83" s="45" t="n">
        <v>261</v>
      </c>
      <c r="AW83" s="39" t="n">
        <v>76.3</v>
      </c>
      <c r="AX83" s="39" t="n">
        <v>68.7</v>
      </c>
      <c r="AY83" s="39" t="n">
        <v>26.2</v>
      </c>
      <c r="AZ83" s="39" t="n">
        <v>74</v>
      </c>
      <c r="BA83" s="39" t="n">
        <v>0</v>
      </c>
      <c r="BB83" s="39" t="n">
        <v>85.3</v>
      </c>
      <c r="BC83" s="8" t="s">
        <v>492</v>
      </c>
      <c r="BD83" s="47" t="s">
        <v>431</v>
      </c>
      <c r="BE83" s="41" t="s">
        <v>183</v>
      </c>
    </row>
    <row r="84" customFormat="false" ht="15" hidden="false" customHeight="false" outlineLevel="0" collapsed="false">
      <c r="A84" s="33" t="n">
        <f aca="false">RANK(B84,$B$5:$B$266)</f>
        <v>80</v>
      </c>
      <c r="B84" s="34" t="n">
        <f aca="false">ROUND((AW84*'Scoring Weights'!$B$5+AX84*'Scoring Weights'!$B$6+AY84*'Scoring Weights'!$B$7+BA84*'Scoring Weights'!$B$8+AZ84*'Scoring Weights'!$B$9+BB84*'Scoring Weights'!$B$10)/MAX('Scoring Weights'!$B$11,1),1)</f>
        <v>54.2</v>
      </c>
      <c r="C84" s="35" t="str">
        <f aca="false">IF(AND(H84&lt;='Search Criteria'!$B$5,D84&gt;='Search Criteria'!$B$6,AQ84&lt;='Search Criteria'!$B$7,I84&lt;=INDEX('Search Criteria'!$B$18:$B$20,MATCH(E84,'Search Criteria'!$A$18:$A$20,0)),OR(NOT('Search Criteria'!$B$8),L84&lt;&gt;"FWD"),OR(NOT('Search Criteria'!$B$9),T84="Yes"),OR(NOT('Search Criteria'!$B$10),W84&gt;0),OR(NOT('Search Criteria'!$B$11),X84="Yes"),OR(NOT('Search Criteria'!$B$12),O84="GREAT",O84="GOOD"),OR(NOT('Search Criteria'!$B$13),K84="Yes")),"YES","no")</f>
        <v>no</v>
      </c>
      <c r="D84" s="33" t="n">
        <v>2024</v>
      </c>
      <c r="E84" s="8" t="s">
        <v>92</v>
      </c>
      <c r="F84" s="8" t="s">
        <v>236</v>
      </c>
      <c r="G84" s="8" t="s">
        <v>338</v>
      </c>
      <c r="H84" s="45" t="n">
        <v>31981</v>
      </c>
      <c r="I84" s="46" t="n">
        <v>22730</v>
      </c>
      <c r="J84" s="37" t="n">
        <f aca="false">IFERROR(ROUND(I84/MAX(2026-D84,0.5),0),"")</f>
        <v>11365</v>
      </c>
      <c r="K84" s="35" t="s">
        <v>259</v>
      </c>
      <c r="L84" s="35" t="s">
        <v>256</v>
      </c>
      <c r="M84" s="35" t="s">
        <v>257</v>
      </c>
      <c r="N84" s="33" t="n">
        <v>30</v>
      </c>
      <c r="O84" s="35" t="s">
        <v>276</v>
      </c>
      <c r="P84" s="45" t="n">
        <v>34163</v>
      </c>
      <c r="Q84" s="38" t="n">
        <v>0.064</v>
      </c>
      <c r="R84" s="35" t="s">
        <v>258</v>
      </c>
      <c r="S84" s="45" t="n">
        <v>220</v>
      </c>
      <c r="T84" s="35" t="s">
        <v>255</v>
      </c>
      <c r="U84" s="33" t="n">
        <v>1</v>
      </c>
      <c r="V84" s="35" t="s">
        <v>255</v>
      </c>
      <c r="W84" s="33" t="n">
        <v>7</v>
      </c>
      <c r="X84" s="35" t="s">
        <v>259</v>
      </c>
      <c r="Y84" s="35" t="s">
        <v>255</v>
      </c>
      <c r="Z84" s="35" t="s">
        <v>259</v>
      </c>
      <c r="AA84" s="35" t="s">
        <v>259</v>
      </c>
      <c r="AB84" s="35" t="s">
        <v>259</v>
      </c>
      <c r="AC84" s="35" t="s">
        <v>259</v>
      </c>
      <c r="AD84" s="35" t="s">
        <v>259</v>
      </c>
      <c r="AE84" s="35" t="s">
        <v>259</v>
      </c>
      <c r="AF84" s="35" t="s">
        <v>259</v>
      </c>
      <c r="AG84" s="35" t="s">
        <v>259</v>
      </c>
      <c r="AH84" s="35" t="s">
        <v>259</v>
      </c>
      <c r="AI84" s="35" t="s">
        <v>259</v>
      </c>
      <c r="AJ84" s="35" t="s">
        <v>259</v>
      </c>
      <c r="AK84" s="8" t="s">
        <v>260</v>
      </c>
      <c r="AL84" s="8" t="s">
        <v>261</v>
      </c>
      <c r="AM84" s="8" t="s">
        <v>278</v>
      </c>
      <c r="AN84" s="8" t="s">
        <v>493</v>
      </c>
      <c r="AO84" s="8" t="s">
        <v>494</v>
      </c>
      <c r="AP84" s="35" t="s">
        <v>265</v>
      </c>
      <c r="AQ84" s="39" t="n">
        <v>47.5</v>
      </c>
      <c r="AR84" s="39" t="n">
        <v>4.6</v>
      </c>
      <c r="AS84" s="33" t="n">
        <v>25</v>
      </c>
      <c r="AT84" s="45"/>
      <c r="AU84" s="45" t="n">
        <v>571.29</v>
      </c>
      <c r="AV84" s="45"/>
      <c r="AW84" s="39" t="n">
        <v>96.4</v>
      </c>
      <c r="AX84" s="39" t="n">
        <v>66.2</v>
      </c>
      <c r="AY84" s="39" t="n">
        <v>70.7</v>
      </c>
      <c r="AZ84" s="39" t="n">
        <v>0</v>
      </c>
      <c r="BA84" s="39" t="n">
        <v>0</v>
      </c>
      <c r="BB84" s="39" t="n">
        <v>36.7</v>
      </c>
      <c r="BC84" s="8" t="s">
        <v>495</v>
      </c>
      <c r="BD84" s="47" t="s">
        <v>346</v>
      </c>
      <c r="BE84" s="41" t="s">
        <v>496</v>
      </c>
    </row>
    <row r="85" customFormat="false" ht="15" hidden="false" customHeight="false" outlineLevel="0" collapsed="false">
      <c r="A85" s="33" t="n">
        <f aca="false">RANK(B85,$B$5:$B$266)</f>
        <v>81</v>
      </c>
      <c r="B85" s="34" t="n">
        <f aca="false">ROUND((AW85*'Scoring Weights'!$B$5+AX85*'Scoring Weights'!$B$6+AY85*'Scoring Weights'!$B$7+BA85*'Scoring Weights'!$B$8+AZ85*'Scoring Weights'!$B$9+BB85*'Scoring Weights'!$B$10)/MAX('Scoring Weights'!$B$11,1),1)</f>
        <v>54</v>
      </c>
      <c r="C85" s="35" t="str">
        <f aca="false">IF(AND(H85&lt;='Search Criteria'!$B$5,D85&gt;='Search Criteria'!$B$6,AQ85&lt;='Search Criteria'!$B$7,I85&lt;=INDEX('Search Criteria'!$B$18:$B$20,MATCH(E85,'Search Criteria'!$A$18:$A$20,0)),OR(NOT('Search Criteria'!$B$8),L85&lt;&gt;"FWD"),OR(NOT('Search Criteria'!$B$9),T85="Yes"),OR(NOT('Search Criteria'!$B$10),W85&gt;0),OR(NOT('Search Criteria'!$B$11),X85="Yes"),OR(NOT('Search Criteria'!$B$12),O85="GREAT",O85="GOOD"),OR(NOT('Search Criteria'!$B$13),K85="Yes")),"YES","no")</f>
        <v>no</v>
      </c>
      <c r="D85" s="33" t="n">
        <v>2023</v>
      </c>
      <c r="E85" s="8" t="s">
        <v>94</v>
      </c>
      <c r="F85" s="8" t="s">
        <v>232</v>
      </c>
      <c r="G85" s="8" t="s">
        <v>301</v>
      </c>
      <c r="H85" s="45" t="n">
        <v>30990</v>
      </c>
      <c r="I85" s="46" t="n">
        <v>26754</v>
      </c>
      <c r="J85" s="37" t="n">
        <f aca="false">IFERROR(ROUND(I85/MAX(2026-D85,0.5),0),"")</f>
        <v>8918</v>
      </c>
      <c r="K85" s="35" t="s">
        <v>259</v>
      </c>
      <c r="L85" s="35" t="s">
        <v>256</v>
      </c>
      <c r="M85" s="35" t="s">
        <v>302</v>
      </c>
      <c r="N85" s="33" t="n">
        <v>37</v>
      </c>
      <c r="O85" s="35" t="s">
        <v>286</v>
      </c>
      <c r="P85" s="45" t="n">
        <v>31920</v>
      </c>
      <c r="Q85" s="38" t="n">
        <v>0.029</v>
      </c>
      <c r="R85" s="35" t="s">
        <v>277</v>
      </c>
      <c r="S85" s="45"/>
      <c r="T85" s="35" t="s">
        <v>259</v>
      </c>
      <c r="U85" s="33" t="n">
        <v>1</v>
      </c>
      <c r="V85" s="35" t="s">
        <v>255</v>
      </c>
      <c r="W85" s="33" t="n">
        <v>2</v>
      </c>
      <c r="X85" s="35" t="s">
        <v>255</v>
      </c>
      <c r="Y85" s="35" t="s">
        <v>255</v>
      </c>
      <c r="Z85" s="35" t="s">
        <v>259</v>
      </c>
      <c r="AA85" s="35" t="s">
        <v>255</v>
      </c>
      <c r="AB85" s="35" t="s">
        <v>255</v>
      </c>
      <c r="AC85" s="35" t="s">
        <v>259</v>
      </c>
      <c r="AD85" s="35" t="s">
        <v>259</v>
      </c>
      <c r="AE85" s="35" t="s">
        <v>255</v>
      </c>
      <c r="AF85" s="35" t="s">
        <v>259</v>
      </c>
      <c r="AG85" s="35" t="s">
        <v>259</v>
      </c>
      <c r="AH85" s="35" t="s">
        <v>259</v>
      </c>
      <c r="AI85" s="35" t="s">
        <v>255</v>
      </c>
      <c r="AJ85" s="35" t="s">
        <v>259</v>
      </c>
      <c r="AK85" s="8" t="s">
        <v>269</v>
      </c>
      <c r="AL85" s="8" t="s">
        <v>261</v>
      </c>
      <c r="AM85" s="8" t="s">
        <v>303</v>
      </c>
      <c r="AN85" s="8" t="s">
        <v>320</v>
      </c>
      <c r="AO85" s="8" t="s">
        <v>321</v>
      </c>
      <c r="AP85" s="35" t="s">
        <v>272</v>
      </c>
      <c r="AQ85" s="39" t="n">
        <v>56.8</v>
      </c>
      <c r="AR85" s="39" t="n">
        <v>4.5</v>
      </c>
      <c r="AS85" s="33" t="n">
        <v>16</v>
      </c>
      <c r="AT85" s="45"/>
      <c r="AU85" s="45" t="n">
        <v>553.59</v>
      </c>
      <c r="AV85" s="45" t="n">
        <v>314</v>
      </c>
      <c r="AW85" s="39" t="n">
        <v>76.8</v>
      </c>
      <c r="AX85" s="39" t="n">
        <v>69.8</v>
      </c>
      <c r="AY85" s="39" t="n">
        <v>66</v>
      </c>
      <c r="AZ85" s="39" t="n">
        <v>40</v>
      </c>
      <c r="BA85" s="39" t="n">
        <v>0</v>
      </c>
      <c r="BB85" s="39" t="n">
        <v>24.3</v>
      </c>
      <c r="BC85" s="8" t="s">
        <v>497</v>
      </c>
      <c r="BD85" s="47" t="s">
        <v>330</v>
      </c>
      <c r="BE85" s="41" t="s">
        <v>498</v>
      </c>
    </row>
    <row r="86" customFormat="false" ht="15" hidden="false" customHeight="false" outlineLevel="0" collapsed="false">
      <c r="A86" s="33" t="n">
        <f aca="false">RANK(B86,$B$5:$B$266)</f>
        <v>81</v>
      </c>
      <c r="B86" s="34" t="n">
        <f aca="false">ROUND((AW86*'Scoring Weights'!$B$5+AX86*'Scoring Weights'!$B$6+AY86*'Scoring Weights'!$B$7+BA86*'Scoring Weights'!$B$8+AZ86*'Scoring Weights'!$B$9+BB86*'Scoring Weights'!$B$10)/MAX('Scoring Weights'!$B$11,1),1)</f>
        <v>54</v>
      </c>
      <c r="C86" s="35" t="str">
        <f aca="false">IF(AND(H86&lt;='Search Criteria'!$B$5,D86&gt;='Search Criteria'!$B$6,AQ86&lt;='Search Criteria'!$B$7,I86&lt;=INDEX('Search Criteria'!$B$18:$B$20,MATCH(E86,'Search Criteria'!$A$18:$A$20,0)),OR(NOT('Search Criteria'!$B$8),L86&lt;&gt;"FWD"),OR(NOT('Search Criteria'!$B$9),T86="Yes"),OR(NOT('Search Criteria'!$B$10),W86&gt;0),OR(NOT('Search Criteria'!$B$11),X86="Yes"),OR(NOT('Search Criteria'!$B$12),O86="GREAT",O86="GOOD"),OR(NOT('Search Criteria'!$B$13),K86="Yes")),"YES","no")</f>
        <v>no</v>
      </c>
      <c r="D86" s="33" t="n">
        <v>2023</v>
      </c>
      <c r="E86" s="8" t="s">
        <v>92</v>
      </c>
      <c r="F86" s="8" t="s">
        <v>236</v>
      </c>
      <c r="G86" s="8" t="s">
        <v>284</v>
      </c>
      <c r="H86" s="45" t="n">
        <v>36406</v>
      </c>
      <c r="I86" s="46" t="n">
        <v>24665</v>
      </c>
      <c r="J86" s="37" t="n">
        <f aca="false">IFERROR(ROUND(I86/MAX(2026-D86,0.5),0),"")</f>
        <v>8222</v>
      </c>
      <c r="K86" s="35" t="s">
        <v>259</v>
      </c>
      <c r="L86" s="35" t="s">
        <v>256</v>
      </c>
      <c r="M86" s="35" t="s">
        <v>257</v>
      </c>
      <c r="N86" s="33" t="n">
        <v>28</v>
      </c>
      <c r="O86" s="35" t="s">
        <v>297</v>
      </c>
      <c r="P86" s="45" t="n">
        <v>32814</v>
      </c>
      <c r="Q86" s="38" t="n">
        <v>-0.109</v>
      </c>
      <c r="R86" s="35" t="s">
        <v>258</v>
      </c>
      <c r="S86" s="45" t="n">
        <v>380</v>
      </c>
      <c r="T86" s="35" t="s">
        <v>259</v>
      </c>
      <c r="U86" s="33" t="n">
        <v>1</v>
      </c>
      <c r="V86" s="35" t="s">
        <v>255</v>
      </c>
      <c r="W86" s="33" t="n">
        <v>9</v>
      </c>
      <c r="X86" s="35" t="s">
        <v>255</v>
      </c>
      <c r="Y86" s="35" t="s">
        <v>255</v>
      </c>
      <c r="Z86" s="35" t="s">
        <v>255</v>
      </c>
      <c r="AA86" s="35" t="s">
        <v>255</v>
      </c>
      <c r="AB86" s="35" t="s">
        <v>255</v>
      </c>
      <c r="AC86" s="35" t="s">
        <v>255</v>
      </c>
      <c r="AD86" s="35" t="s">
        <v>255</v>
      </c>
      <c r="AE86" s="35" t="s">
        <v>259</v>
      </c>
      <c r="AF86" s="35" t="s">
        <v>259</v>
      </c>
      <c r="AG86" s="35" t="s">
        <v>259</v>
      </c>
      <c r="AH86" s="35" t="s">
        <v>259</v>
      </c>
      <c r="AI86" s="35" t="s">
        <v>255</v>
      </c>
      <c r="AJ86" s="35" t="s">
        <v>259</v>
      </c>
      <c r="AK86" s="8" t="s">
        <v>269</v>
      </c>
      <c r="AL86" s="8" t="s">
        <v>261</v>
      </c>
      <c r="AM86" s="8" t="s">
        <v>278</v>
      </c>
      <c r="AN86" s="8" t="s">
        <v>339</v>
      </c>
      <c r="AO86" s="8" t="s">
        <v>340</v>
      </c>
      <c r="AP86" s="35" t="s">
        <v>265</v>
      </c>
      <c r="AQ86" s="39" t="n">
        <v>59.9</v>
      </c>
      <c r="AR86" s="39" t="n">
        <v>4.5</v>
      </c>
      <c r="AS86" s="33" t="n">
        <v>44</v>
      </c>
      <c r="AT86" s="45"/>
      <c r="AU86" s="45" t="n">
        <v>650.34</v>
      </c>
      <c r="AV86" s="45" t="n">
        <v>262</v>
      </c>
      <c r="AW86" s="39" t="n">
        <v>85.2</v>
      </c>
      <c r="AX86" s="39" t="n">
        <v>36.3</v>
      </c>
      <c r="AY86" s="39" t="n">
        <v>77.2</v>
      </c>
      <c r="AZ86" s="39" t="n">
        <v>64</v>
      </c>
      <c r="BA86" s="39" t="n">
        <v>0</v>
      </c>
      <c r="BB86" s="39" t="n">
        <v>20.2</v>
      </c>
      <c r="BC86" s="8" t="s">
        <v>499</v>
      </c>
      <c r="BD86" s="47" t="s">
        <v>451</v>
      </c>
      <c r="BE86" s="41" t="s">
        <v>500</v>
      </c>
    </row>
    <row r="87" customFormat="false" ht="15" hidden="false" customHeight="false" outlineLevel="0" collapsed="false">
      <c r="A87" s="33" t="n">
        <f aca="false">RANK(B87,$B$5:$B$266)</f>
        <v>83</v>
      </c>
      <c r="B87" s="34" t="n">
        <f aca="false">ROUND((AW87*'Scoring Weights'!$B$5+AX87*'Scoring Weights'!$B$6+AY87*'Scoring Weights'!$B$7+BA87*'Scoring Weights'!$B$8+AZ87*'Scoring Weights'!$B$9+BB87*'Scoring Weights'!$B$10)/MAX('Scoring Weights'!$B$11,1),1)</f>
        <v>53.9</v>
      </c>
      <c r="C87" s="35" t="str">
        <f aca="false">IF(AND(H87&lt;='Search Criteria'!$B$5,D87&gt;='Search Criteria'!$B$6,AQ87&lt;='Search Criteria'!$B$7,I87&lt;=INDEX('Search Criteria'!$B$18:$B$20,MATCH(E87,'Search Criteria'!$A$18:$A$20,0)),OR(NOT('Search Criteria'!$B$8),L87&lt;&gt;"FWD"),OR(NOT('Search Criteria'!$B$9),T87="Yes"),OR(NOT('Search Criteria'!$B$10),W87&gt;0),OR(NOT('Search Criteria'!$B$11),X87="Yes"),OR(NOT('Search Criteria'!$B$12),O87="GREAT",O87="GOOD"),OR(NOT('Search Criteria'!$B$13),K87="Yes")),"YES","no")</f>
        <v>YES</v>
      </c>
      <c r="D87" s="33" t="n">
        <v>2024</v>
      </c>
      <c r="E87" s="8" t="s">
        <v>95</v>
      </c>
      <c r="F87" s="8" t="s">
        <v>234</v>
      </c>
      <c r="G87" s="8" t="s">
        <v>407</v>
      </c>
      <c r="H87" s="45" t="n">
        <v>25059</v>
      </c>
      <c r="I87" s="46" t="n">
        <v>33775</v>
      </c>
      <c r="J87" s="37" t="n">
        <f aca="false">IFERROR(ROUND(I87/MAX(2026-D87,0.5),0),"")</f>
        <v>16888</v>
      </c>
      <c r="K87" s="35" t="s">
        <v>259</v>
      </c>
      <c r="L87" s="35" t="s">
        <v>256</v>
      </c>
      <c r="M87" s="35" t="s">
        <v>257</v>
      </c>
      <c r="N87" s="33" t="n">
        <v>28</v>
      </c>
      <c r="O87" s="35" t="s">
        <v>258</v>
      </c>
      <c r="P87" s="45" t="n">
        <v>29156</v>
      </c>
      <c r="Q87" s="38" t="n">
        <v>0.141</v>
      </c>
      <c r="R87" s="35" t="s">
        <v>286</v>
      </c>
      <c r="S87" s="45" t="n">
        <v>260</v>
      </c>
      <c r="T87" s="35" t="s">
        <v>255</v>
      </c>
      <c r="U87" s="33" t="n">
        <v>1</v>
      </c>
      <c r="V87" s="35" t="s">
        <v>255</v>
      </c>
      <c r="W87" s="33" t="n">
        <v>4</v>
      </c>
      <c r="X87" s="35" t="s">
        <v>255</v>
      </c>
      <c r="Y87" s="35" t="s">
        <v>255</v>
      </c>
      <c r="Z87" s="35" t="s">
        <v>259</v>
      </c>
      <c r="AA87" s="35" t="s">
        <v>255</v>
      </c>
      <c r="AB87" s="35" t="s">
        <v>255</v>
      </c>
      <c r="AC87" s="35" t="s">
        <v>259</v>
      </c>
      <c r="AD87" s="35" t="s">
        <v>255</v>
      </c>
      <c r="AE87" s="35" t="s">
        <v>259</v>
      </c>
      <c r="AF87" s="35" t="s">
        <v>255</v>
      </c>
      <c r="AG87" s="35" t="s">
        <v>259</v>
      </c>
      <c r="AH87" s="35" t="s">
        <v>259</v>
      </c>
      <c r="AI87" s="35" t="s">
        <v>255</v>
      </c>
      <c r="AJ87" s="35" t="s">
        <v>259</v>
      </c>
      <c r="AK87" s="8" t="s">
        <v>309</v>
      </c>
      <c r="AL87" s="8" t="s">
        <v>261</v>
      </c>
      <c r="AM87" s="8" t="s">
        <v>278</v>
      </c>
      <c r="AN87" s="8" t="s">
        <v>501</v>
      </c>
      <c r="AO87" s="8" t="s">
        <v>425</v>
      </c>
      <c r="AP87" s="35" t="s">
        <v>265</v>
      </c>
      <c r="AQ87" s="39" t="n">
        <v>71.2</v>
      </c>
      <c r="AR87" s="39" t="n">
        <v>4</v>
      </c>
      <c r="AS87" s="33" t="n">
        <v>20</v>
      </c>
      <c r="AT87" s="45" t="n">
        <v>915</v>
      </c>
      <c r="AU87" s="45" t="n">
        <v>447.64</v>
      </c>
      <c r="AV87" s="45" t="n">
        <v>261</v>
      </c>
      <c r="AW87" s="39" t="n">
        <v>78.5</v>
      </c>
      <c r="AX87" s="39" t="n">
        <v>98.6</v>
      </c>
      <c r="AY87" s="39" t="n">
        <v>25.5</v>
      </c>
      <c r="AZ87" s="39" t="n">
        <v>50</v>
      </c>
      <c r="BA87" s="39" t="n">
        <v>0</v>
      </c>
      <c r="BB87" s="39" t="n">
        <v>5.1</v>
      </c>
      <c r="BC87" s="8" t="s">
        <v>502</v>
      </c>
      <c r="BD87" s="47" t="s">
        <v>423</v>
      </c>
      <c r="BE87" s="41" t="s">
        <v>185</v>
      </c>
    </row>
    <row r="88" customFormat="false" ht="15" hidden="false" customHeight="false" outlineLevel="0" collapsed="false">
      <c r="A88" s="33" t="n">
        <f aca="false">RANK(B88,$B$5:$B$266)</f>
        <v>83</v>
      </c>
      <c r="B88" s="34" t="n">
        <f aca="false">ROUND((AW88*'Scoring Weights'!$B$5+AX88*'Scoring Weights'!$B$6+AY88*'Scoring Weights'!$B$7+BA88*'Scoring Weights'!$B$8+AZ88*'Scoring Weights'!$B$9+BB88*'Scoring Weights'!$B$10)/MAX('Scoring Weights'!$B$11,1),1)</f>
        <v>53.9</v>
      </c>
      <c r="C88" s="35" t="str">
        <f aca="false">IF(AND(H88&lt;='Search Criteria'!$B$5,D88&gt;='Search Criteria'!$B$6,AQ88&lt;='Search Criteria'!$B$7,I88&lt;=INDEX('Search Criteria'!$B$18:$B$20,MATCH(E88,'Search Criteria'!$A$18:$A$20,0)),OR(NOT('Search Criteria'!$B$8),L88&lt;&gt;"FWD"),OR(NOT('Search Criteria'!$B$9),T88="Yes"),OR(NOT('Search Criteria'!$B$10),W88&gt;0),OR(NOT('Search Criteria'!$B$11),X88="Yes"),OR(NOT('Search Criteria'!$B$12),O88="GREAT",O88="GOOD"),OR(NOT('Search Criteria'!$B$13),K88="Yes")),"YES","no")</f>
        <v>no</v>
      </c>
      <c r="D88" s="33" t="n">
        <v>2022</v>
      </c>
      <c r="E88" s="8" t="s">
        <v>92</v>
      </c>
      <c r="F88" s="8" t="s">
        <v>236</v>
      </c>
      <c r="G88" s="8" t="s">
        <v>284</v>
      </c>
      <c r="H88" s="45" t="n">
        <v>28699</v>
      </c>
      <c r="I88" s="46" t="n">
        <v>46086</v>
      </c>
      <c r="J88" s="37" t="n">
        <f aca="false">IFERROR(ROUND(I88/MAX(2026-D88,0.5),0),"")</f>
        <v>11522</v>
      </c>
      <c r="K88" s="35" t="s">
        <v>259</v>
      </c>
      <c r="L88" s="35" t="s">
        <v>285</v>
      </c>
      <c r="M88" s="35" t="s">
        <v>257</v>
      </c>
      <c r="N88" s="33" t="n">
        <v>30</v>
      </c>
      <c r="O88" s="35" t="s">
        <v>276</v>
      </c>
      <c r="P88" s="45" t="n">
        <v>29909</v>
      </c>
      <c r="Q88" s="38" t="n">
        <v>0.04</v>
      </c>
      <c r="R88" s="35" t="s">
        <v>258</v>
      </c>
      <c r="S88" s="45" t="n">
        <v>350</v>
      </c>
      <c r="T88" s="35" t="s">
        <v>259</v>
      </c>
      <c r="U88" s="33" t="n">
        <v>1</v>
      </c>
      <c r="V88" s="35" t="s">
        <v>255</v>
      </c>
      <c r="W88" s="33" t="n">
        <v>8</v>
      </c>
      <c r="X88" s="35" t="s">
        <v>259</v>
      </c>
      <c r="Y88" s="35" t="s">
        <v>255</v>
      </c>
      <c r="Z88" s="35" t="s">
        <v>259</v>
      </c>
      <c r="AA88" s="35" t="s">
        <v>255</v>
      </c>
      <c r="AB88" s="35" t="s">
        <v>255</v>
      </c>
      <c r="AC88" s="35" t="s">
        <v>255</v>
      </c>
      <c r="AD88" s="35" t="s">
        <v>255</v>
      </c>
      <c r="AE88" s="35" t="s">
        <v>259</v>
      </c>
      <c r="AF88" s="35" t="s">
        <v>259</v>
      </c>
      <c r="AG88" s="35" t="s">
        <v>259</v>
      </c>
      <c r="AH88" s="35" t="s">
        <v>259</v>
      </c>
      <c r="AI88" s="35" t="s">
        <v>255</v>
      </c>
      <c r="AJ88" s="35" t="s">
        <v>259</v>
      </c>
      <c r="AK88" s="8" t="s">
        <v>261</v>
      </c>
      <c r="AL88" s="8" t="s">
        <v>261</v>
      </c>
      <c r="AM88" s="8" t="s">
        <v>278</v>
      </c>
      <c r="AN88" s="8" t="s">
        <v>304</v>
      </c>
      <c r="AO88" s="8" t="s">
        <v>305</v>
      </c>
      <c r="AP88" s="35" t="s">
        <v>265</v>
      </c>
      <c r="AQ88" s="39" t="n">
        <v>59.4</v>
      </c>
      <c r="AR88" s="39" t="n">
        <v>4.4</v>
      </c>
      <c r="AS88" s="33" t="n">
        <v>13</v>
      </c>
      <c r="AT88" s="45" t="n">
        <v>2606</v>
      </c>
      <c r="AU88" s="45" t="n">
        <v>512.67</v>
      </c>
      <c r="AV88" s="45"/>
      <c r="AW88" s="39" t="n">
        <v>84</v>
      </c>
      <c r="AX88" s="39" t="n">
        <v>62.7</v>
      </c>
      <c r="AY88" s="39" t="n">
        <v>53.9</v>
      </c>
      <c r="AZ88" s="39" t="n">
        <v>54</v>
      </c>
      <c r="BA88" s="39" t="n">
        <v>0</v>
      </c>
      <c r="BB88" s="39" t="n">
        <v>20.8</v>
      </c>
      <c r="BC88" s="8" t="s">
        <v>503</v>
      </c>
      <c r="BD88" s="47" t="s">
        <v>365</v>
      </c>
      <c r="BE88" s="41" t="s">
        <v>504</v>
      </c>
    </row>
    <row r="89" customFormat="false" ht="15" hidden="false" customHeight="false" outlineLevel="0" collapsed="false">
      <c r="A89" s="33" t="n">
        <f aca="false">RANK(B89,$B$5:$B$266)</f>
        <v>85</v>
      </c>
      <c r="B89" s="34" t="n">
        <f aca="false">ROUND((AW89*'Scoring Weights'!$B$5+AX89*'Scoring Weights'!$B$6+AY89*'Scoring Weights'!$B$7+BA89*'Scoring Weights'!$B$8+AZ89*'Scoring Weights'!$B$9+BB89*'Scoring Weights'!$B$10)/MAX('Scoring Weights'!$B$11,1),1)</f>
        <v>53.7</v>
      </c>
      <c r="C89" s="35" t="str">
        <f aca="false">IF(AND(H89&lt;='Search Criteria'!$B$5,D89&gt;='Search Criteria'!$B$6,AQ89&lt;='Search Criteria'!$B$7,I89&lt;=INDEX('Search Criteria'!$B$18:$B$20,MATCH(E89,'Search Criteria'!$A$18:$A$20,0)),OR(NOT('Search Criteria'!$B$8),L89&lt;&gt;"FWD"),OR(NOT('Search Criteria'!$B$9),T89="Yes"),OR(NOT('Search Criteria'!$B$10),W89&gt;0),OR(NOT('Search Criteria'!$B$11),X89="Yes"),OR(NOT('Search Criteria'!$B$12),O89="GREAT",O89="GOOD"),OR(NOT('Search Criteria'!$B$13),K89="Yes")),"YES","no")</f>
        <v>no</v>
      </c>
      <c r="D89" s="33" t="n">
        <v>2025</v>
      </c>
      <c r="E89" s="8" t="s">
        <v>92</v>
      </c>
      <c r="F89" s="8" t="s">
        <v>236</v>
      </c>
      <c r="G89" s="8" t="s">
        <v>284</v>
      </c>
      <c r="H89" s="45" t="n">
        <v>39309</v>
      </c>
      <c r="I89" s="46" t="n">
        <v>23022</v>
      </c>
      <c r="J89" s="37" t="n">
        <f aca="false">IFERROR(ROUND(I89/MAX(2026-D89,0.5),0),"")</f>
        <v>23022</v>
      </c>
      <c r="K89" s="35" t="s">
        <v>259</v>
      </c>
      <c r="L89" s="35" t="s">
        <v>256</v>
      </c>
      <c r="M89" s="35" t="s">
        <v>257</v>
      </c>
      <c r="N89" s="33" t="n">
        <v>28</v>
      </c>
      <c r="O89" s="35" t="s">
        <v>297</v>
      </c>
      <c r="P89" s="45" t="n">
        <v>35334</v>
      </c>
      <c r="Q89" s="38" t="n">
        <v>-0.113</v>
      </c>
      <c r="R89" s="35" t="s">
        <v>258</v>
      </c>
      <c r="S89" s="45" t="n">
        <v>220</v>
      </c>
      <c r="T89" s="35" t="s">
        <v>255</v>
      </c>
      <c r="U89" s="33" t="n">
        <v>1</v>
      </c>
      <c r="V89" s="35" t="s">
        <v>255</v>
      </c>
      <c r="W89" s="33" t="n">
        <v>7</v>
      </c>
      <c r="X89" s="35" t="s">
        <v>255</v>
      </c>
      <c r="Y89" s="35" t="s">
        <v>255</v>
      </c>
      <c r="Z89" s="35" t="s">
        <v>255</v>
      </c>
      <c r="AA89" s="35" t="s">
        <v>255</v>
      </c>
      <c r="AB89" s="35" t="s">
        <v>255</v>
      </c>
      <c r="AC89" s="35" t="s">
        <v>255</v>
      </c>
      <c r="AD89" s="35" t="s">
        <v>255</v>
      </c>
      <c r="AE89" s="35" t="s">
        <v>259</v>
      </c>
      <c r="AF89" s="35" t="s">
        <v>259</v>
      </c>
      <c r="AG89" s="35" t="s">
        <v>259</v>
      </c>
      <c r="AH89" s="35" t="s">
        <v>259</v>
      </c>
      <c r="AI89" s="35" t="s">
        <v>255</v>
      </c>
      <c r="AJ89" s="35" t="s">
        <v>255</v>
      </c>
      <c r="AK89" s="8" t="s">
        <v>292</v>
      </c>
      <c r="AL89" s="8" t="s">
        <v>287</v>
      </c>
      <c r="AM89" s="8" t="s">
        <v>278</v>
      </c>
      <c r="AN89" s="8" t="s">
        <v>505</v>
      </c>
      <c r="AO89" s="8" t="s">
        <v>506</v>
      </c>
      <c r="AP89" s="35" t="s">
        <v>272</v>
      </c>
      <c r="AQ89" s="39" t="n">
        <v>52.7</v>
      </c>
      <c r="AR89" s="39" t="n">
        <v>4.8</v>
      </c>
      <c r="AS89" s="33" t="n">
        <v>68</v>
      </c>
      <c r="AT89" s="45" t="n">
        <v>-2114</v>
      </c>
      <c r="AU89" s="45" t="n">
        <v>702.2</v>
      </c>
      <c r="AV89" s="45" t="n">
        <v>314</v>
      </c>
      <c r="AW89" s="39" t="n">
        <v>96.4</v>
      </c>
      <c r="AX89" s="39" t="n">
        <v>35.9</v>
      </c>
      <c r="AY89" s="39" t="n">
        <v>53.9</v>
      </c>
      <c r="AZ89" s="39" t="n">
        <v>68</v>
      </c>
      <c r="BA89" s="39" t="n">
        <v>0</v>
      </c>
      <c r="BB89" s="39" t="n">
        <v>29.7</v>
      </c>
      <c r="BC89" s="8" t="s">
        <v>507</v>
      </c>
      <c r="BD89" s="47" t="s">
        <v>290</v>
      </c>
      <c r="BE89" s="41" t="s">
        <v>508</v>
      </c>
    </row>
    <row r="90" customFormat="false" ht="15" hidden="false" customHeight="false" outlineLevel="0" collapsed="false">
      <c r="A90" s="33" t="n">
        <f aca="false">RANK(B90,$B$5:$B$266)</f>
        <v>86</v>
      </c>
      <c r="B90" s="34" t="n">
        <f aca="false">ROUND((AW90*'Scoring Weights'!$B$5+AX90*'Scoring Weights'!$B$6+AY90*'Scoring Weights'!$B$7+BA90*'Scoring Weights'!$B$8+AZ90*'Scoring Weights'!$B$9+BB90*'Scoring Weights'!$B$10)/MAX('Scoring Weights'!$B$11,1),1)</f>
        <v>53.6</v>
      </c>
      <c r="C90" s="35" t="str">
        <f aca="false">IF(AND(H90&lt;='Search Criteria'!$B$5,D90&gt;='Search Criteria'!$B$6,AQ90&lt;='Search Criteria'!$B$7,I90&lt;=INDEX('Search Criteria'!$B$18:$B$20,MATCH(E90,'Search Criteria'!$A$18:$A$20,0)),OR(NOT('Search Criteria'!$B$8),L90&lt;&gt;"FWD"),OR(NOT('Search Criteria'!$B$9),T90="Yes"),OR(NOT('Search Criteria'!$B$10),W90&gt;0),OR(NOT('Search Criteria'!$B$11),X90="Yes"),OR(NOT('Search Criteria'!$B$12),O90="GREAT",O90="GOOD"),OR(NOT('Search Criteria'!$B$13),K90="Yes")),"YES","no")</f>
        <v>no</v>
      </c>
      <c r="D90" s="33" t="n">
        <v>2024</v>
      </c>
      <c r="E90" s="8" t="s">
        <v>95</v>
      </c>
      <c r="F90" s="8" t="s">
        <v>234</v>
      </c>
      <c r="G90" s="8" t="s">
        <v>275</v>
      </c>
      <c r="H90" s="45" t="n">
        <v>31073</v>
      </c>
      <c r="I90" s="46" t="n">
        <v>27462</v>
      </c>
      <c r="J90" s="37" t="n">
        <f aca="false">IFERROR(ROUND(I90/MAX(2026-D90,0.5),0),"")</f>
        <v>13731</v>
      </c>
      <c r="K90" s="35" t="s">
        <v>259</v>
      </c>
      <c r="L90" s="35" t="s">
        <v>256</v>
      </c>
      <c r="M90" s="35" t="s">
        <v>257</v>
      </c>
      <c r="N90" s="33" t="n">
        <v>28</v>
      </c>
      <c r="O90" s="35" t="s">
        <v>276</v>
      </c>
      <c r="P90" s="45" t="n">
        <v>29827</v>
      </c>
      <c r="Q90" s="38" t="n">
        <v>-0.042</v>
      </c>
      <c r="R90" s="35" t="s">
        <v>286</v>
      </c>
      <c r="S90" s="45" t="n">
        <v>380</v>
      </c>
      <c r="T90" s="35" t="s">
        <v>255</v>
      </c>
      <c r="U90" s="33" t="n">
        <v>1</v>
      </c>
      <c r="V90" s="35" t="s">
        <v>255</v>
      </c>
      <c r="W90" s="33" t="n">
        <v>7</v>
      </c>
      <c r="X90" s="35" t="s">
        <v>255</v>
      </c>
      <c r="Y90" s="35" t="s">
        <v>255</v>
      </c>
      <c r="Z90" s="35" t="s">
        <v>255</v>
      </c>
      <c r="AA90" s="35" t="s">
        <v>255</v>
      </c>
      <c r="AB90" s="35" t="s">
        <v>255</v>
      </c>
      <c r="AC90" s="35" t="s">
        <v>255</v>
      </c>
      <c r="AD90" s="35" t="s">
        <v>255</v>
      </c>
      <c r="AE90" s="35" t="s">
        <v>259</v>
      </c>
      <c r="AF90" s="35" t="s">
        <v>255</v>
      </c>
      <c r="AG90" s="35" t="s">
        <v>259</v>
      </c>
      <c r="AH90" s="35" t="s">
        <v>255</v>
      </c>
      <c r="AI90" s="35" t="s">
        <v>255</v>
      </c>
      <c r="AJ90" s="35" t="s">
        <v>255</v>
      </c>
      <c r="AK90" s="8" t="s">
        <v>269</v>
      </c>
      <c r="AL90" s="8" t="s">
        <v>260</v>
      </c>
      <c r="AM90" s="8" t="s">
        <v>278</v>
      </c>
      <c r="AN90" s="8" t="s">
        <v>315</v>
      </c>
      <c r="AO90" s="8" t="s">
        <v>294</v>
      </c>
      <c r="AP90" s="35" t="s">
        <v>272</v>
      </c>
      <c r="AQ90" s="39" t="n">
        <v>41.6</v>
      </c>
      <c r="AR90" s="39" t="n">
        <v>4.6</v>
      </c>
      <c r="AS90" s="33" t="n">
        <v>4</v>
      </c>
      <c r="AT90" s="45"/>
      <c r="AU90" s="45" t="n">
        <v>555.07</v>
      </c>
      <c r="AV90" s="45" t="n">
        <v>314</v>
      </c>
      <c r="AW90" s="39" t="n">
        <v>81.5</v>
      </c>
      <c r="AX90" s="39" t="n">
        <v>50.3</v>
      </c>
      <c r="AY90" s="39" t="n">
        <v>42.2</v>
      </c>
      <c r="AZ90" s="39" t="n">
        <v>82</v>
      </c>
      <c r="BA90" s="39" t="n">
        <v>0</v>
      </c>
      <c r="BB90" s="39" t="n">
        <v>44.5</v>
      </c>
      <c r="BC90" s="8" t="s">
        <v>509</v>
      </c>
      <c r="BD90" s="47" t="s">
        <v>423</v>
      </c>
      <c r="BE90" s="41" t="s">
        <v>510</v>
      </c>
    </row>
    <row r="91" customFormat="false" ht="15" hidden="false" customHeight="false" outlineLevel="0" collapsed="false">
      <c r="A91" s="33" t="n">
        <f aca="false">RANK(B91,$B$5:$B$266)</f>
        <v>86</v>
      </c>
      <c r="B91" s="34" t="n">
        <f aca="false">ROUND((AW91*'Scoring Weights'!$B$5+AX91*'Scoring Weights'!$B$6+AY91*'Scoring Weights'!$B$7+BA91*'Scoring Weights'!$B$8+AZ91*'Scoring Weights'!$B$9+BB91*'Scoring Weights'!$B$10)/MAX('Scoring Weights'!$B$11,1),1)</f>
        <v>53.6</v>
      </c>
      <c r="C91" s="35" t="str">
        <f aca="false">IF(AND(H91&lt;='Search Criteria'!$B$5,D91&gt;='Search Criteria'!$B$6,AQ91&lt;='Search Criteria'!$B$7,I91&lt;=INDEX('Search Criteria'!$B$18:$B$20,MATCH(E91,'Search Criteria'!$A$18:$A$20,0)),OR(NOT('Search Criteria'!$B$8),L91&lt;&gt;"FWD"),OR(NOT('Search Criteria'!$B$9),T91="Yes"),OR(NOT('Search Criteria'!$B$10),W91&gt;0),OR(NOT('Search Criteria'!$B$11),X91="Yes"),OR(NOT('Search Criteria'!$B$12),O91="GREAT",O91="GOOD"),OR(NOT('Search Criteria'!$B$13),K91="Yes")),"YES","no")</f>
        <v>no</v>
      </c>
      <c r="D91" s="33" t="n">
        <v>2022</v>
      </c>
      <c r="E91" s="8" t="s">
        <v>92</v>
      </c>
      <c r="F91" s="8" t="s">
        <v>236</v>
      </c>
      <c r="G91" s="8" t="s">
        <v>453</v>
      </c>
      <c r="H91" s="45" t="n">
        <v>25898</v>
      </c>
      <c r="I91" s="46" t="n">
        <v>108856</v>
      </c>
      <c r="J91" s="37" t="n">
        <f aca="false">IFERROR(ROUND(I91/MAX(2026-D91,0.5),0),"")</f>
        <v>27214</v>
      </c>
      <c r="K91" s="35" t="s">
        <v>259</v>
      </c>
      <c r="L91" s="35" t="s">
        <v>256</v>
      </c>
      <c r="M91" s="35" t="s">
        <v>302</v>
      </c>
      <c r="N91" s="33" t="n">
        <v>40</v>
      </c>
      <c r="O91" s="35" t="s">
        <v>258</v>
      </c>
      <c r="P91" s="45" t="n">
        <v>24898</v>
      </c>
      <c r="Q91" s="38" t="n">
        <v>-0.04</v>
      </c>
      <c r="R91" s="35" t="s">
        <v>258</v>
      </c>
      <c r="S91" s="45" t="n">
        <v>300</v>
      </c>
      <c r="T91" s="35" t="s">
        <v>255</v>
      </c>
      <c r="U91" s="33" t="n">
        <v>1</v>
      </c>
      <c r="V91" s="35" t="s">
        <v>255</v>
      </c>
      <c r="W91" s="33" t="n">
        <v>15</v>
      </c>
      <c r="X91" s="35" t="s">
        <v>255</v>
      </c>
      <c r="Y91" s="35" t="s">
        <v>255</v>
      </c>
      <c r="Z91" s="35" t="s">
        <v>259</v>
      </c>
      <c r="AA91" s="35" t="s">
        <v>255</v>
      </c>
      <c r="AB91" s="35" t="s">
        <v>255</v>
      </c>
      <c r="AC91" s="35" t="s">
        <v>255</v>
      </c>
      <c r="AD91" s="35" t="s">
        <v>255</v>
      </c>
      <c r="AE91" s="35" t="s">
        <v>259</v>
      </c>
      <c r="AF91" s="35" t="s">
        <v>259</v>
      </c>
      <c r="AG91" s="35" t="s">
        <v>259</v>
      </c>
      <c r="AH91" s="35" t="s">
        <v>259</v>
      </c>
      <c r="AI91" s="35" t="s">
        <v>255</v>
      </c>
      <c r="AJ91" s="35" t="s">
        <v>259</v>
      </c>
      <c r="AK91" s="8" t="s">
        <v>292</v>
      </c>
      <c r="AL91" s="8" t="s">
        <v>261</v>
      </c>
      <c r="AM91" s="8" t="s">
        <v>278</v>
      </c>
      <c r="AN91" s="8" t="s">
        <v>333</v>
      </c>
      <c r="AO91" s="8" t="s">
        <v>280</v>
      </c>
      <c r="AP91" s="35" t="s">
        <v>265</v>
      </c>
      <c r="AQ91" s="39" t="n">
        <v>11.1</v>
      </c>
      <c r="AR91" s="39" t="n">
        <v>4.7</v>
      </c>
      <c r="AS91" s="33" t="n">
        <v>5</v>
      </c>
      <c r="AT91" s="45" t="n">
        <v>351</v>
      </c>
      <c r="AU91" s="45" t="n">
        <v>462.63</v>
      </c>
      <c r="AV91" s="45" t="n">
        <v>250</v>
      </c>
      <c r="AW91" s="39" t="n">
        <v>100</v>
      </c>
      <c r="AX91" s="39" t="n">
        <v>71.5</v>
      </c>
      <c r="AY91" s="39" t="n">
        <v>0</v>
      </c>
      <c r="AZ91" s="39" t="n">
        <v>54</v>
      </c>
      <c r="BA91" s="39" t="n">
        <v>0</v>
      </c>
      <c r="BB91" s="39" t="n">
        <v>85.2</v>
      </c>
      <c r="BC91" s="8" t="s">
        <v>511</v>
      </c>
      <c r="BD91" s="47" t="s">
        <v>365</v>
      </c>
      <c r="BE91" s="41" t="s">
        <v>512</v>
      </c>
    </row>
    <row r="92" customFormat="false" ht="15" hidden="false" customHeight="false" outlineLevel="0" collapsed="false">
      <c r="A92" s="33" t="n">
        <f aca="false">RANK(B92,$B$5:$B$266)</f>
        <v>88</v>
      </c>
      <c r="B92" s="34" t="n">
        <f aca="false">ROUND((AW92*'Scoring Weights'!$B$5+AX92*'Scoring Weights'!$B$6+AY92*'Scoring Weights'!$B$7+BA92*'Scoring Weights'!$B$8+AZ92*'Scoring Weights'!$B$9+BB92*'Scoring Weights'!$B$10)/MAX('Scoring Weights'!$B$11,1),1)</f>
        <v>53.2</v>
      </c>
      <c r="C92" s="35" t="str">
        <f aca="false">IF(AND(H92&lt;='Search Criteria'!$B$5,D92&gt;='Search Criteria'!$B$6,AQ92&lt;='Search Criteria'!$B$7,I92&lt;=INDEX('Search Criteria'!$B$18:$B$20,MATCH(E92,'Search Criteria'!$A$18:$A$20,0)),OR(NOT('Search Criteria'!$B$8),L92&lt;&gt;"FWD"),OR(NOT('Search Criteria'!$B$9),T92="Yes"),OR(NOT('Search Criteria'!$B$10),W92&gt;0),OR(NOT('Search Criteria'!$B$11),X92="Yes"),OR(NOT('Search Criteria'!$B$12),O92="GREAT",O92="GOOD"),OR(NOT('Search Criteria'!$B$13),K92="Yes")),"YES","no")</f>
        <v>no</v>
      </c>
      <c r="D92" s="33" t="n">
        <v>2025</v>
      </c>
      <c r="E92" s="8" t="s">
        <v>94</v>
      </c>
      <c r="F92" s="8" t="s">
        <v>232</v>
      </c>
      <c r="G92" s="8" t="s">
        <v>332</v>
      </c>
      <c r="H92" s="45" t="n">
        <v>38238</v>
      </c>
      <c r="I92" s="46" t="n">
        <v>17120</v>
      </c>
      <c r="J92" s="37" t="n">
        <f aca="false">IFERROR(ROUND(I92/MAX(2026-D92,0.5),0),"")</f>
        <v>17120</v>
      </c>
      <c r="K92" s="35" t="s">
        <v>259</v>
      </c>
      <c r="L92" s="35" t="s">
        <v>256</v>
      </c>
      <c r="M92" s="35" t="s">
        <v>302</v>
      </c>
      <c r="N92" s="33" t="n">
        <v>37</v>
      </c>
      <c r="O92" s="35" t="s">
        <v>297</v>
      </c>
      <c r="P92" s="45" t="n">
        <v>34862</v>
      </c>
      <c r="Q92" s="38" t="n">
        <v>-0.097</v>
      </c>
      <c r="R92" s="35" t="s">
        <v>277</v>
      </c>
      <c r="S92" s="45"/>
      <c r="T92" s="35" t="s">
        <v>255</v>
      </c>
      <c r="U92" s="33" t="n">
        <v>1</v>
      </c>
      <c r="V92" s="35" t="s">
        <v>255</v>
      </c>
      <c r="W92" s="33" t="n">
        <v>2</v>
      </c>
      <c r="X92" s="35" t="s">
        <v>255</v>
      </c>
      <c r="Y92" s="35" t="s">
        <v>255</v>
      </c>
      <c r="Z92" s="35" t="s">
        <v>259</v>
      </c>
      <c r="AA92" s="35" t="s">
        <v>255</v>
      </c>
      <c r="AB92" s="35" t="s">
        <v>255</v>
      </c>
      <c r="AC92" s="35" t="s">
        <v>255</v>
      </c>
      <c r="AD92" s="35" t="s">
        <v>255</v>
      </c>
      <c r="AE92" s="35" t="s">
        <v>259</v>
      </c>
      <c r="AF92" s="35" t="s">
        <v>259</v>
      </c>
      <c r="AG92" s="35" t="s">
        <v>255</v>
      </c>
      <c r="AH92" s="35" t="s">
        <v>255</v>
      </c>
      <c r="AI92" s="35" t="s">
        <v>255</v>
      </c>
      <c r="AJ92" s="35" t="s">
        <v>259</v>
      </c>
      <c r="AK92" s="8" t="s">
        <v>269</v>
      </c>
      <c r="AL92" s="8" t="s">
        <v>261</v>
      </c>
      <c r="AM92" s="8" t="s">
        <v>303</v>
      </c>
      <c r="AN92" s="8" t="s">
        <v>378</v>
      </c>
      <c r="AO92" s="8" t="s">
        <v>379</v>
      </c>
      <c r="AP92" s="35" t="s">
        <v>265</v>
      </c>
      <c r="AQ92" s="39" t="n">
        <v>46.9</v>
      </c>
      <c r="AR92" s="39" t="n">
        <v>4.7</v>
      </c>
      <c r="AS92" s="33" t="n">
        <v>9</v>
      </c>
      <c r="AT92" s="45"/>
      <c r="AU92" s="45" t="n">
        <v>683.07</v>
      </c>
      <c r="AV92" s="45" t="n">
        <v>261</v>
      </c>
      <c r="AW92" s="39" t="n">
        <v>90.4</v>
      </c>
      <c r="AX92" s="39" t="n">
        <v>38.2</v>
      </c>
      <c r="AY92" s="39" t="n">
        <v>55.1</v>
      </c>
      <c r="AZ92" s="39" t="n">
        <v>68</v>
      </c>
      <c r="BA92" s="39" t="n">
        <v>0</v>
      </c>
      <c r="BB92" s="39" t="n">
        <v>37.5</v>
      </c>
      <c r="BC92" s="8" t="s">
        <v>513</v>
      </c>
      <c r="BD92" s="47" t="s">
        <v>274</v>
      </c>
      <c r="BE92" s="41" t="s">
        <v>514</v>
      </c>
    </row>
    <row r="93" customFormat="false" ht="15" hidden="false" customHeight="false" outlineLevel="0" collapsed="false">
      <c r="A93" s="33" t="n">
        <f aca="false">RANK(B93,$B$5:$B$266)</f>
        <v>89</v>
      </c>
      <c r="B93" s="34" t="n">
        <f aca="false">ROUND((AW93*'Scoring Weights'!$B$5+AX93*'Scoring Weights'!$B$6+AY93*'Scoring Weights'!$B$7+BA93*'Scoring Weights'!$B$8+AZ93*'Scoring Weights'!$B$9+BB93*'Scoring Weights'!$B$10)/MAX('Scoring Weights'!$B$11,1),1)</f>
        <v>53.1</v>
      </c>
      <c r="C93" s="35" t="str">
        <f aca="false">IF(AND(H93&lt;='Search Criteria'!$B$5,D93&gt;='Search Criteria'!$B$6,AQ93&lt;='Search Criteria'!$B$7,I93&lt;=INDEX('Search Criteria'!$B$18:$B$20,MATCH(E93,'Search Criteria'!$A$18:$A$20,0)),OR(NOT('Search Criteria'!$B$8),L93&lt;&gt;"FWD"),OR(NOT('Search Criteria'!$B$9),T93="Yes"),OR(NOT('Search Criteria'!$B$10),W93&gt;0),OR(NOT('Search Criteria'!$B$11),X93="Yes"),OR(NOT('Search Criteria'!$B$12),O93="GREAT",O93="GOOD"),OR(NOT('Search Criteria'!$B$13),K93="Yes")),"YES","no")</f>
        <v>YES</v>
      </c>
      <c r="D93" s="33" t="n">
        <v>2024</v>
      </c>
      <c r="E93" s="8" t="s">
        <v>95</v>
      </c>
      <c r="F93" s="8" t="s">
        <v>234</v>
      </c>
      <c r="G93" s="8" t="s">
        <v>325</v>
      </c>
      <c r="H93" s="45" t="n">
        <v>29314</v>
      </c>
      <c r="I93" s="46" t="n">
        <v>37948</v>
      </c>
      <c r="J93" s="37" t="n">
        <f aca="false">IFERROR(ROUND(I93/MAX(2026-D93,0.5),0),"")</f>
        <v>18974</v>
      </c>
      <c r="K93" s="35" t="s">
        <v>259</v>
      </c>
      <c r="L93" s="35" t="s">
        <v>256</v>
      </c>
      <c r="M93" s="35" t="s">
        <v>257</v>
      </c>
      <c r="N93" s="33" t="n">
        <v>28</v>
      </c>
      <c r="O93" s="35" t="s">
        <v>286</v>
      </c>
      <c r="P93" s="45" t="n">
        <v>28713</v>
      </c>
      <c r="Q93" s="38" t="n">
        <v>-0.021</v>
      </c>
      <c r="R93" s="35" t="s">
        <v>258</v>
      </c>
      <c r="S93" s="45" t="n">
        <v>310</v>
      </c>
      <c r="T93" s="35" t="s">
        <v>255</v>
      </c>
      <c r="U93" s="33" t="n">
        <v>1</v>
      </c>
      <c r="V93" s="35" t="s">
        <v>255</v>
      </c>
      <c r="W93" s="33" t="n">
        <v>11</v>
      </c>
      <c r="X93" s="35" t="s">
        <v>255</v>
      </c>
      <c r="Y93" s="35" t="s">
        <v>255</v>
      </c>
      <c r="Z93" s="35" t="s">
        <v>255</v>
      </c>
      <c r="AA93" s="35" t="s">
        <v>255</v>
      </c>
      <c r="AB93" s="35" t="s">
        <v>255</v>
      </c>
      <c r="AC93" s="35" t="s">
        <v>255</v>
      </c>
      <c r="AD93" s="35" t="s">
        <v>255</v>
      </c>
      <c r="AE93" s="35" t="s">
        <v>259</v>
      </c>
      <c r="AF93" s="35" t="s">
        <v>259</v>
      </c>
      <c r="AG93" s="35" t="s">
        <v>259</v>
      </c>
      <c r="AH93" s="35" t="s">
        <v>255</v>
      </c>
      <c r="AI93" s="35" t="s">
        <v>255</v>
      </c>
      <c r="AJ93" s="35" t="s">
        <v>255</v>
      </c>
      <c r="AK93" s="8" t="s">
        <v>292</v>
      </c>
      <c r="AL93" s="8" t="s">
        <v>260</v>
      </c>
      <c r="AM93" s="8" t="s">
        <v>278</v>
      </c>
      <c r="AN93" s="8" t="s">
        <v>480</v>
      </c>
      <c r="AO93" s="8" t="s">
        <v>271</v>
      </c>
      <c r="AP93" s="35" t="s">
        <v>272</v>
      </c>
      <c r="AQ93" s="39" t="n">
        <v>74.5</v>
      </c>
      <c r="AR93" s="39" t="n">
        <v>4.6</v>
      </c>
      <c r="AS93" s="33" t="n">
        <v>47</v>
      </c>
      <c r="AT93" s="45"/>
      <c r="AU93" s="45" t="n">
        <v>523.65</v>
      </c>
      <c r="AV93" s="45" t="n">
        <v>314</v>
      </c>
      <c r="AW93" s="39" t="n">
        <v>100</v>
      </c>
      <c r="AX93" s="39" t="n">
        <v>62.3</v>
      </c>
      <c r="AY93" s="39" t="n">
        <v>16.9</v>
      </c>
      <c r="AZ93" s="39" t="n">
        <v>74</v>
      </c>
      <c r="BA93" s="39" t="n">
        <v>0</v>
      </c>
      <c r="BB93" s="39" t="n">
        <v>0.7</v>
      </c>
      <c r="BC93" s="8" t="s">
        <v>515</v>
      </c>
      <c r="BD93" s="47" t="s">
        <v>423</v>
      </c>
      <c r="BE93" s="41" t="s">
        <v>187</v>
      </c>
    </row>
    <row r="94" customFormat="false" ht="15" hidden="false" customHeight="false" outlineLevel="0" collapsed="false">
      <c r="A94" s="33" t="n">
        <f aca="false">RANK(B94,$B$5:$B$266)</f>
        <v>89</v>
      </c>
      <c r="B94" s="34" t="n">
        <f aca="false">ROUND((AW94*'Scoring Weights'!$B$5+AX94*'Scoring Weights'!$B$6+AY94*'Scoring Weights'!$B$7+BA94*'Scoring Weights'!$B$8+AZ94*'Scoring Weights'!$B$9+BB94*'Scoring Weights'!$B$10)/MAX('Scoring Weights'!$B$11,1),1)</f>
        <v>53.1</v>
      </c>
      <c r="C94" s="35" t="str">
        <f aca="false">IF(AND(H94&lt;='Search Criteria'!$B$5,D94&gt;='Search Criteria'!$B$6,AQ94&lt;='Search Criteria'!$B$7,I94&lt;=INDEX('Search Criteria'!$B$18:$B$20,MATCH(E94,'Search Criteria'!$A$18:$A$20,0)),OR(NOT('Search Criteria'!$B$8),L94&lt;&gt;"FWD"),OR(NOT('Search Criteria'!$B$9),T94="Yes"),OR(NOT('Search Criteria'!$B$10),W94&gt;0),OR(NOT('Search Criteria'!$B$11),X94="Yes"),OR(NOT('Search Criteria'!$B$12),O94="GREAT",O94="GOOD"),OR(NOT('Search Criteria'!$B$13),K94="Yes")),"YES","no")</f>
        <v>no</v>
      </c>
      <c r="D94" s="33" t="n">
        <v>2025</v>
      </c>
      <c r="E94" s="8" t="s">
        <v>94</v>
      </c>
      <c r="F94" s="8" t="s">
        <v>232</v>
      </c>
      <c r="G94" s="8" t="s">
        <v>332</v>
      </c>
      <c r="H94" s="45" t="n">
        <v>31809</v>
      </c>
      <c r="I94" s="46" t="n">
        <v>52252</v>
      </c>
      <c r="J94" s="37" t="n">
        <f aca="false">IFERROR(ROUND(I94/MAX(2026-D94,0.5),0),"")</f>
        <v>52252</v>
      </c>
      <c r="K94" s="35" t="s">
        <v>259</v>
      </c>
      <c r="L94" s="35" t="s">
        <v>285</v>
      </c>
      <c r="M94" s="35" t="s">
        <v>302</v>
      </c>
      <c r="N94" s="33" t="n">
        <v>40</v>
      </c>
      <c r="O94" s="35" t="s">
        <v>286</v>
      </c>
      <c r="P94" s="45" t="n">
        <v>32435</v>
      </c>
      <c r="Q94" s="38" t="n">
        <v>0.019</v>
      </c>
      <c r="R94" s="35" t="s">
        <v>277</v>
      </c>
      <c r="S94" s="45"/>
      <c r="T94" s="35" t="s">
        <v>255</v>
      </c>
      <c r="U94" s="33" t="n">
        <v>1</v>
      </c>
      <c r="V94" s="35" t="s">
        <v>255</v>
      </c>
      <c r="W94" s="33" t="n">
        <v>7</v>
      </c>
      <c r="X94" s="35" t="s">
        <v>255</v>
      </c>
      <c r="Y94" s="35" t="s">
        <v>255</v>
      </c>
      <c r="Z94" s="35" t="s">
        <v>259</v>
      </c>
      <c r="AA94" s="35" t="s">
        <v>255</v>
      </c>
      <c r="AB94" s="35" t="s">
        <v>255</v>
      </c>
      <c r="AC94" s="35" t="s">
        <v>255</v>
      </c>
      <c r="AD94" s="35" t="s">
        <v>255</v>
      </c>
      <c r="AE94" s="35" t="s">
        <v>259</v>
      </c>
      <c r="AF94" s="35" t="s">
        <v>259</v>
      </c>
      <c r="AG94" s="35" t="s">
        <v>255</v>
      </c>
      <c r="AH94" s="35" t="s">
        <v>255</v>
      </c>
      <c r="AI94" s="35" t="s">
        <v>255</v>
      </c>
      <c r="AJ94" s="35" t="s">
        <v>259</v>
      </c>
      <c r="AK94" s="8" t="s">
        <v>260</v>
      </c>
      <c r="AL94" s="8" t="s">
        <v>261</v>
      </c>
      <c r="AM94" s="8" t="s">
        <v>303</v>
      </c>
      <c r="AN94" s="8" t="s">
        <v>270</v>
      </c>
      <c r="AO94" s="8" t="s">
        <v>271</v>
      </c>
      <c r="AP94" s="35" t="s">
        <v>272</v>
      </c>
      <c r="AQ94" s="39" t="n">
        <v>71</v>
      </c>
      <c r="AR94" s="39" t="n">
        <v>4.7</v>
      </c>
      <c r="AS94" s="33" t="n">
        <v>78</v>
      </c>
      <c r="AT94" s="45"/>
      <c r="AU94" s="45" t="n">
        <v>568.22</v>
      </c>
      <c r="AV94" s="45" t="n">
        <v>314</v>
      </c>
      <c r="AW94" s="39" t="n">
        <v>96.4</v>
      </c>
      <c r="AX94" s="39" t="n">
        <v>68.3</v>
      </c>
      <c r="AY94" s="39" t="n">
        <v>17.7</v>
      </c>
      <c r="AZ94" s="39" t="n">
        <v>68</v>
      </c>
      <c r="BA94" s="39" t="n">
        <v>0</v>
      </c>
      <c r="BB94" s="39" t="n">
        <v>5.4</v>
      </c>
      <c r="BC94" s="8" t="s">
        <v>516</v>
      </c>
      <c r="BD94" s="47" t="s">
        <v>274</v>
      </c>
      <c r="BE94" s="41" t="s">
        <v>517</v>
      </c>
    </row>
    <row r="95" customFormat="false" ht="15" hidden="false" customHeight="false" outlineLevel="0" collapsed="false">
      <c r="A95" s="33" t="n">
        <f aca="false">RANK(B95,$B$5:$B$266)</f>
        <v>91</v>
      </c>
      <c r="B95" s="34" t="n">
        <f aca="false">ROUND((AW95*'Scoring Weights'!$B$5+AX95*'Scoring Weights'!$B$6+AY95*'Scoring Weights'!$B$7+BA95*'Scoring Weights'!$B$8+AZ95*'Scoring Weights'!$B$9+BB95*'Scoring Weights'!$B$10)/MAX('Scoring Weights'!$B$11,1),1)</f>
        <v>52.9</v>
      </c>
      <c r="C95" s="35" t="str">
        <f aca="false">IF(AND(H95&lt;='Search Criteria'!$B$5,D95&gt;='Search Criteria'!$B$6,AQ95&lt;='Search Criteria'!$B$7,I95&lt;=INDEX('Search Criteria'!$B$18:$B$20,MATCH(E95,'Search Criteria'!$A$18:$A$20,0)),OR(NOT('Search Criteria'!$B$8),L95&lt;&gt;"FWD"),OR(NOT('Search Criteria'!$B$9),T95="Yes"),OR(NOT('Search Criteria'!$B$10),W95&gt;0),OR(NOT('Search Criteria'!$B$11),X95="Yes"),OR(NOT('Search Criteria'!$B$12),O95="GREAT",O95="GOOD"),OR(NOT('Search Criteria'!$B$13),K95="Yes")),"YES","no")</f>
        <v>no</v>
      </c>
      <c r="D95" s="33" t="n">
        <v>2024</v>
      </c>
      <c r="E95" s="8" t="s">
        <v>94</v>
      </c>
      <c r="F95" s="8" t="s">
        <v>232</v>
      </c>
      <c r="G95" s="8" t="s">
        <v>254</v>
      </c>
      <c r="H95" s="45" t="n">
        <v>32438</v>
      </c>
      <c r="I95" s="46" t="n">
        <v>34814</v>
      </c>
      <c r="J95" s="37" t="n">
        <f aca="false">IFERROR(ROUND(I95/MAX(2026-D95,0.5),0),"")</f>
        <v>17407</v>
      </c>
      <c r="K95" s="35" t="s">
        <v>259</v>
      </c>
      <c r="L95" s="35" t="s">
        <v>256</v>
      </c>
      <c r="M95" s="35" t="s">
        <v>257</v>
      </c>
      <c r="N95" s="33" t="n">
        <v>29</v>
      </c>
      <c r="O95" s="35" t="s">
        <v>286</v>
      </c>
      <c r="P95" s="45" t="n">
        <v>32501</v>
      </c>
      <c r="Q95" s="38" t="n">
        <v>0.002</v>
      </c>
      <c r="R95" s="35" t="s">
        <v>258</v>
      </c>
      <c r="S95" s="45" t="n">
        <v>250</v>
      </c>
      <c r="T95" s="35" t="s">
        <v>259</v>
      </c>
      <c r="U95" s="33" t="n">
        <v>1</v>
      </c>
      <c r="V95" s="35" t="s">
        <v>255</v>
      </c>
      <c r="W95" s="33" t="n">
        <v>5</v>
      </c>
      <c r="X95" s="35" t="s">
        <v>255</v>
      </c>
      <c r="Y95" s="35" t="s">
        <v>255</v>
      </c>
      <c r="Z95" s="35" t="s">
        <v>259</v>
      </c>
      <c r="AA95" s="35" t="s">
        <v>255</v>
      </c>
      <c r="AB95" s="35" t="s">
        <v>255</v>
      </c>
      <c r="AC95" s="35" t="s">
        <v>255</v>
      </c>
      <c r="AD95" s="35" t="s">
        <v>255</v>
      </c>
      <c r="AE95" s="35" t="s">
        <v>259</v>
      </c>
      <c r="AF95" s="35" t="s">
        <v>259</v>
      </c>
      <c r="AG95" s="35" t="s">
        <v>255</v>
      </c>
      <c r="AH95" s="35" t="s">
        <v>255</v>
      </c>
      <c r="AI95" s="35" t="s">
        <v>255</v>
      </c>
      <c r="AJ95" s="35" t="s">
        <v>259</v>
      </c>
      <c r="AK95" s="8" t="s">
        <v>260</v>
      </c>
      <c r="AL95" s="8" t="s">
        <v>261</v>
      </c>
      <c r="AM95" s="8" t="s">
        <v>262</v>
      </c>
      <c r="AN95" s="8" t="s">
        <v>484</v>
      </c>
      <c r="AO95" s="8" t="s">
        <v>485</v>
      </c>
      <c r="AP95" s="35" t="s">
        <v>265</v>
      </c>
      <c r="AQ95" s="39" t="n">
        <v>53</v>
      </c>
      <c r="AR95" s="39" t="n">
        <v>4.4</v>
      </c>
      <c r="AS95" s="33" t="n">
        <v>53</v>
      </c>
      <c r="AT95" s="45" t="n">
        <v>2375</v>
      </c>
      <c r="AU95" s="45" t="n">
        <v>579.46</v>
      </c>
      <c r="AV95" s="45" t="n">
        <v>261</v>
      </c>
      <c r="AW95" s="39" t="n">
        <v>80.4</v>
      </c>
      <c r="AX95" s="39" t="n">
        <v>65.7</v>
      </c>
      <c r="AY95" s="39" t="n">
        <v>36.7</v>
      </c>
      <c r="AZ95" s="39" t="n">
        <v>68</v>
      </c>
      <c r="BA95" s="39" t="n">
        <v>0</v>
      </c>
      <c r="BB95" s="39" t="n">
        <v>29.3</v>
      </c>
      <c r="BC95" s="8" t="s">
        <v>518</v>
      </c>
      <c r="BD95" s="47" t="s">
        <v>307</v>
      </c>
      <c r="BE95" s="41" t="s">
        <v>519</v>
      </c>
    </row>
    <row r="96" customFormat="false" ht="15" hidden="false" customHeight="false" outlineLevel="0" collapsed="false">
      <c r="A96" s="33" t="n">
        <f aca="false">RANK(B96,$B$5:$B$266)</f>
        <v>91</v>
      </c>
      <c r="B96" s="34" t="n">
        <f aca="false">ROUND((AW96*'Scoring Weights'!$B$5+AX96*'Scoring Weights'!$B$6+AY96*'Scoring Weights'!$B$7+BA96*'Scoring Weights'!$B$8+AZ96*'Scoring Weights'!$B$9+BB96*'Scoring Weights'!$B$10)/MAX('Scoring Weights'!$B$11,1),1)</f>
        <v>52.9</v>
      </c>
      <c r="C96" s="35" t="str">
        <f aca="false">IF(AND(H96&lt;='Search Criteria'!$B$5,D96&gt;='Search Criteria'!$B$6,AQ96&lt;='Search Criteria'!$B$7,I96&lt;=INDEX('Search Criteria'!$B$18:$B$20,MATCH(E96,'Search Criteria'!$A$18:$A$20,0)),OR(NOT('Search Criteria'!$B$8),L96&lt;&gt;"FWD"),OR(NOT('Search Criteria'!$B$9),T96="Yes"),OR(NOT('Search Criteria'!$B$10),W96&gt;0),OR(NOT('Search Criteria'!$B$11),X96="Yes"),OR(NOT('Search Criteria'!$B$12),O96="GREAT",O96="GOOD"),OR(NOT('Search Criteria'!$B$13),K96="Yes")),"YES","no")</f>
        <v>no</v>
      </c>
      <c r="D96" s="33" t="n">
        <v>2022</v>
      </c>
      <c r="E96" s="8" t="s">
        <v>92</v>
      </c>
      <c r="F96" s="8" t="s">
        <v>235</v>
      </c>
      <c r="G96" s="8" t="s">
        <v>520</v>
      </c>
      <c r="H96" s="45" t="n">
        <v>36622</v>
      </c>
      <c r="I96" s="46" t="n">
        <v>81916</v>
      </c>
      <c r="J96" s="37" t="n">
        <f aca="false">IFERROR(ROUND(I96/MAX(2026-D96,0.5),0),"")</f>
        <v>20479</v>
      </c>
      <c r="K96" s="35" t="s">
        <v>255</v>
      </c>
      <c r="L96" s="35" t="s">
        <v>476</v>
      </c>
      <c r="M96" s="35" t="s">
        <v>257</v>
      </c>
      <c r="N96" s="33" t="n">
        <v>17</v>
      </c>
      <c r="O96" s="35" t="s">
        <v>297</v>
      </c>
      <c r="P96" s="45"/>
      <c r="Q96" s="38"/>
      <c r="R96" s="35" t="s">
        <v>258</v>
      </c>
      <c r="S96" s="45" t="n">
        <v>280</v>
      </c>
      <c r="T96" s="35" t="s">
        <v>255</v>
      </c>
      <c r="U96" s="33" t="n">
        <v>2</v>
      </c>
      <c r="V96" s="35" t="s">
        <v>259</v>
      </c>
      <c r="W96" s="33" t="n">
        <v>11</v>
      </c>
      <c r="X96" s="35" t="s">
        <v>259</v>
      </c>
      <c r="Y96" s="35" t="s">
        <v>255</v>
      </c>
      <c r="Z96" s="35" t="s">
        <v>259</v>
      </c>
      <c r="AA96" s="35" t="s">
        <v>259</v>
      </c>
      <c r="AB96" s="35" t="s">
        <v>259</v>
      </c>
      <c r="AC96" s="35" t="s">
        <v>259</v>
      </c>
      <c r="AD96" s="35" t="s">
        <v>259</v>
      </c>
      <c r="AE96" s="35" t="s">
        <v>259</v>
      </c>
      <c r="AF96" s="35" t="s">
        <v>259</v>
      </c>
      <c r="AG96" s="35" t="s">
        <v>259</v>
      </c>
      <c r="AH96" s="35" t="s">
        <v>259</v>
      </c>
      <c r="AI96" s="35" t="s">
        <v>255</v>
      </c>
      <c r="AJ96" s="35" t="s">
        <v>259</v>
      </c>
      <c r="AK96" s="8" t="s">
        <v>269</v>
      </c>
      <c r="AL96" s="8" t="s">
        <v>260</v>
      </c>
      <c r="AM96" s="8" t="s">
        <v>477</v>
      </c>
      <c r="AN96" s="8" t="s">
        <v>288</v>
      </c>
      <c r="AO96" s="8" t="s">
        <v>271</v>
      </c>
      <c r="AP96" s="35" t="s">
        <v>272</v>
      </c>
      <c r="AQ96" s="39" t="n">
        <v>74.7</v>
      </c>
      <c r="AR96" s="39" t="n">
        <v>4.7</v>
      </c>
      <c r="AS96" s="33" t="n">
        <v>39</v>
      </c>
      <c r="AT96" s="45" t="n">
        <v>1077</v>
      </c>
      <c r="AU96" s="45" t="n">
        <v>654.2</v>
      </c>
      <c r="AV96" s="45" t="n">
        <v>314</v>
      </c>
      <c r="AW96" s="39" t="n">
        <v>85.6</v>
      </c>
      <c r="AX96" s="39" t="n">
        <v>58.2</v>
      </c>
      <c r="AY96" s="39" t="n">
        <v>12.7</v>
      </c>
      <c r="AZ96" s="39" t="n">
        <v>4</v>
      </c>
      <c r="BA96" s="39" t="n">
        <v>100</v>
      </c>
      <c r="BB96" s="39" t="n">
        <v>0.4</v>
      </c>
      <c r="BC96" s="8" t="s">
        <v>521</v>
      </c>
      <c r="BD96" s="47" t="s">
        <v>479</v>
      </c>
      <c r="BE96" s="41" t="s">
        <v>522</v>
      </c>
    </row>
    <row r="97" customFormat="false" ht="15" hidden="false" customHeight="false" outlineLevel="0" collapsed="false">
      <c r="A97" s="33" t="n">
        <f aca="false">RANK(B97,$B$5:$B$266)</f>
        <v>93</v>
      </c>
      <c r="B97" s="34" t="n">
        <f aca="false">ROUND((AW97*'Scoring Weights'!$B$5+AX97*'Scoring Weights'!$B$6+AY97*'Scoring Weights'!$B$7+BA97*'Scoring Weights'!$B$8+AZ97*'Scoring Weights'!$B$9+BB97*'Scoring Weights'!$B$10)/MAX('Scoring Weights'!$B$11,1),1)</f>
        <v>52.8</v>
      </c>
      <c r="C97" s="35" t="str">
        <f aca="false">IF(AND(H97&lt;='Search Criteria'!$B$5,D97&gt;='Search Criteria'!$B$6,AQ97&lt;='Search Criteria'!$B$7,I97&lt;=INDEX('Search Criteria'!$B$18:$B$20,MATCH(E97,'Search Criteria'!$A$18:$A$20,0)),OR(NOT('Search Criteria'!$B$8),L97&lt;&gt;"FWD"),OR(NOT('Search Criteria'!$B$9),T97="Yes"),OR(NOT('Search Criteria'!$B$10),W97&gt;0),OR(NOT('Search Criteria'!$B$11),X97="Yes"),OR(NOT('Search Criteria'!$B$12),O97="GREAT",O97="GOOD"),OR(NOT('Search Criteria'!$B$13),K97="Yes")),"YES","no")</f>
        <v>no</v>
      </c>
      <c r="D97" s="33" t="n">
        <v>2022</v>
      </c>
      <c r="E97" s="8" t="s">
        <v>92</v>
      </c>
      <c r="F97" s="8" t="s">
        <v>236</v>
      </c>
      <c r="G97" s="8" t="s">
        <v>296</v>
      </c>
      <c r="H97" s="45" t="n">
        <v>33751</v>
      </c>
      <c r="I97" s="46" t="n">
        <v>34902</v>
      </c>
      <c r="J97" s="37" t="n">
        <f aca="false">IFERROR(ROUND(I97/MAX(2026-D97,0.5),0),"")</f>
        <v>8726</v>
      </c>
      <c r="K97" s="35" t="s">
        <v>259</v>
      </c>
      <c r="L97" s="35" t="s">
        <v>256</v>
      </c>
      <c r="M97" s="35" t="s">
        <v>302</v>
      </c>
      <c r="N97" s="33" t="n">
        <v>40</v>
      </c>
      <c r="O97" s="35" t="s">
        <v>276</v>
      </c>
      <c r="P97" s="45" t="n">
        <v>30802</v>
      </c>
      <c r="Q97" s="38" t="n">
        <v>-0.096</v>
      </c>
      <c r="R97" s="35" t="s">
        <v>258</v>
      </c>
      <c r="S97" s="45" t="n">
        <v>270</v>
      </c>
      <c r="T97" s="35" t="s">
        <v>255</v>
      </c>
      <c r="U97" s="33" t="n">
        <v>2</v>
      </c>
      <c r="V97" s="35" t="s">
        <v>259</v>
      </c>
      <c r="W97" s="33" t="n">
        <v>6</v>
      </c>
      <c r="X97" s="35" t="s">
        <v>259</v>
      </c>
      <c r="Y97" s="35" t="s">
        <v>255</v>
      </c>
      <c r="Z97" s="35" t="s">
        <v>259</v>
      </c>
      <c r="AA97" s="35" t="s">
        <v>255</v>
      </c>
      <c r="AB97" s="35" t="s">
        <v>255</v>
      </c>
      <c r="AC97" s="35" t="s">
        <v>255</v>
      </c>
      <c r="AD97" s="35" t="s">
        <v>259</v>
      </c>
      <c r="AE97" s="35" t="s">
        <v>259</v>
      </c>
      <c r="AF97" s="35" t="s">
        <v>259</v>
      </c>
      <c r="AG97" s="35" t="s">
        <v>259</v>
      </c>
      <c r="AH97" s="35" t="s">
        <v>259</v>
      </c>
      <c r="AI97" s="35" t="s">
        <v>255</v>
      </c>
      <c r="AJ97" s="35" t="s">
        <v>259</v>
      </c>
      <c r="AK97" s="8" t="s">
        <v>260</v>
      </c>
      <c r="AL97" s="8" t="s">
        <v>261</v>
      </c>
      <c r="AM97" s="8" t="s">
        <v>278</v>
      </c>
      <c r="AN97" s="8" t="s">
        <v>344</v>
      </c>
      <c r="AO97" s="8" t="s">
        <v>280</v>
      </c>
      <c r="AP97" s="35" t="s">
        <v>265</v>
      </c>
      <c r="AQ97" s="39" t="n">
        <v>10.7</v>
      </c>
      <c r="AR97" s="39" t="n">
        <v>4.5</v>
      </c>
      <c r="AS97" s="33" t="n">
        <v>9</v>
      </c>
      <c r="AT97" s="45" t="n">
        <v>1</v>
      </c>
      <c r="AU97" s="45" t="n">
        <v>602.91</v>
      </c>
      <c r="AV97" s="45" t="n">
        <v>261</v>
      </c>
      <c r="AW97" s="39" t="n">
        <v>80.8</v>
      </c>
      <c r="AX97" s="39" t="n">
        <v>42.2</v>
      </c>
      <c r="AY97" s="39" t="n">
        <v>68.8</v>
      </c>
      <c r="AZ97" s="39" t="n">
        <v>42</v>
      </c>
      <c r="BA97" s="39" t="n">
        <v>0</v>
      </c>
      <c r="BB97" s="39" t="n">
        <v>85.8</v>
      </c>
      <c r="BC97" s="8" t="s">
        <v>523</v>
      </c>
      <c r="BD97" s="47" t="s">
        <v>365</v>
      </c>
      <c r="BE97" s="41" t="s">
        <v>524</v>
      </c>
    </row>
    <row r="98" customFormat="false" ht="15" hidden="false" customHeight="false" outlineLevel="0" collapsed="false">
      <c r="A98" s="33" t="n">
        <f aca="false">RANK(B98,$B$5:$B$266)</f>
        <v>94</v>
      </c>
      <c r="B98" s="34" t="n">
        <f aca="false">ROUND((AW98*'Scoring Weights'!$B$5+AX98*'Scoring Weights'!$B$6+AY98*'Scoring Weights'!$B$7+BA98*'Scoring Weights'!$B$8+AZ98*'Scoring Weights'!$B$9+BB98*'Scoring Weights'!$B$10)/MAX('Scoring Weights'!$B$11,1),1)</f>
        <v>52.7</v>
      </c>
      <c r="C98" s="35" t="str">
        <f aca="false">IF(AND(H98&lt;='Search Criteria'!$B$5,D98&gt;='Search Criteria'!$B$6,AQ98&lt;='Search Criteria'!$B$7,I98&lt;=INDEX('Search Criteria'!$B$18:$B$20,MATCH(E98,'Search Criteria'!$A$18:$A$20,0)),OR(NOT('Search Criteria'!$B$8),L98&lt;&gt;"FWD"),OR(NOT('Search Criteria'!$B$9),T98="Yes"),OR(NOT('Search Criteria'!$B$10),W98&gt;0),OR(NOT('Search Criteria'!$B$11),X98="Yes"),OR(NOT('Search Criteria'!$B$12),O98="GREAT",O98="GOOD"),OR(NOT('Search Criteria'!$B$13),K98="Yes")),"YES","no")</f>
        <v>no</v>
      </c>
      <c r="D98" s="33" t="n">
        <v>2025</v>
      </c>
      <c r="E98" s="8" t="s">
        <v>94</v>
      </c>
      <c r="F98" s="8" t="s">
        <v>232</v>
      </c>
      <c r="G98" s="8" t="s">
        <v>254</v>
      </c>
      <c r="H98" s="45" t="n">
        <v>33963</v>
      </c>
      <c r="I98" s="46" t="n">
        <v>29973</v>
      </c>
      <c r="J98" s="37" t="n">
        <f aca="false">IFERROR(ROUND(I98/MAX(2026-D98,0.5),0),"")</f>
        <v>29973</v>
      </c>
      <c r="K98" s="35" t="s">
        <v>259</v>
      </c>
      <c r="L98" s="35" t="s">
        <v>256</v>
      </c>
      <c r="M98" s="35" t="s">
        <v>257</v>
      </c>
      <c r="N98" s="33" t="n">
        <v>28</v>
      </c>
      <c r="O98" s="35" t="s">
        <v>297</v>
      </c>
      <c r="P98" s="45" t="n">
        <v>33974</v>
      </c>
      <c r="Q98" s="38" t="n">
        <v>0</v>
      </c>
      <c r="R98" s="35" t="s">
        <v>277</v>
      </c>
      <c r="S98" s="45"/>
      <c r="T98" s="35" t="s">
        <v>255</v>
      </c>
      <c r="U98" s="33" t="n">
        <v>1</v>
      </c>
      <c r="V98" s="35" t="s">
        <v>255</v>
      </c>
      <c r="W98" s="33" t="n">
        <v>4</v>
      </c>
      <c r="X98" s="35" t="s">
        <v>255</v>
      </c>
      <c r="Y98" s="35" t="s">
        <v>255</v>
      </c>
      <c r="Z98" s="35" t="s">
        <v>259</v>
      </c>
      <c r="AA98" s="35" t="s">
        <v>255</v>
      </c>
      <c r="AB98" s="35" t="s">
        <v>255</v>
      </c>
      <c r="AC98" s="35" t="s">
        <v>255</v>
      </c>
      <c r="AD98" s="35" t="s">
        <v>255</v>
      </c>
      <c r="AE98" s="35" t="s">
        <v>259</v>
      </c>
      <c r="AF98" s="35" t="s">
        <v>259</v>
      </c>
      <c r="AG98" s="35" t="s">
        <v>255</v>
      </c>
      <c r="AH98" s="35" t="s">
        <v>255</v>
      </c>
      <c r="AI98" s="35" t="s">
        <v>255</v>
      </c>
      <c r="AJ98" s="35" t="s">
        <v>259</v>
      </c>
      <c r="AK98" s="8" t="s">
        <v>260</v>
      </c>
      <c r="AL98" s="8" t="s">
        <v>261</v>
      </c>
      <c r="AM98" s="8" t="s">
        <v>262</v>
      </c>
      <c r="AN98" s="8" t="s">
        <v>270</v>
      </c>
      <c r="AO98" s="8" t="s">
        <v>271</v>
      </c>
      <c r="AP98" s="35" t="s">
        <v>272</v>
      </c>
      <c r="AQ98" s="39" t="n">
        <v>71</v>
      </c>
      <c r="AR98" s="39" t="n">
        <v>4.7</v>
      </c>
      <c r="AS98" s="33" t="n">
        <v>23</v>
      </c>
      <c r="AT98" s="45"/>
      <c r="AU98" s="45" t="n">
        <v>606.7</v>
      </c>
      <c r="AV98" s="45" t="n">
        <v>314</v>
      </c>
      <c r="AW98" s="39" t="n">
        <v>92.8</v>
      </c>
      <c r="AX98" s="39" t="n">
        <v>52.8</v>
      </c>
      <c r="AY98" s="39" t="n">
        <v>40</v>
      </c>
      <c r="AZ98" s="39" t="n">
        <v>68</v>
      </c>
      <c r="BA98" s="39" t="n">
        <v>0</v>
      </c>
      <c r="BB98" s="39" t="n">
        <v>5.4</v>
      </c>
      <c r="BC98" s="8" t="s">
        <v>525</v>
      </c>
      <c r="BD98" s="47" t="s">
        <v>274</v>
      </c>
      <c r="BE98" s="41" t="s">
        <v>526</v>
      </c>
    </row>
    <row r="99" customFormat="false" ht="15" hidden="false" customHeight="false" outlineLevel="0" collapsed="false">
      <c r="A99" s="33" t="n">
        <f aca="false">RANK(B99,$B$5:$B$266)</f>
        <v>94</v>
      </c>
      <c r="B99" s="34" t="n">
        <f aca="false">ROUND((AW99*'Scoring Weights'!$B$5+AX99*'Scoring Weights'!$B$6+AY99*'Scoring Weights'!$B$7+BA99*'Scoring Weights'!$B$8+AZ99*'Scoring Weights'!$B$9+BB99*'Scoring Weights'!$B$10)/MAX('Scoring Weights'!$B$11,1),1)</f>
        <v>52.7</v>
      </c>
      <c r="C99" s="35" t="str">
        <f aca="false">IF(AND(H99&lt;='Search Criteria'!$B$5,D99&gt;='Search Criteria'!$B$6,AQ99&lt;='Search Criteria'!$B$7,I99&lt;=INDEX('Search Criteria'!$B$18:$B$20,MATCH(E99,'Search Criteria'!$A$18:$A$20,0)),OR(NOT('Search Criteria'!$B$8),L99&lt;&gt;"FWD"),OR(NOT('Search Criteria'!$B$9),T99="Yes"),OR(NOT('Search Criteria'!$B$10),W99&gt;0),OR(NOT('Search Criteria'!$B$11),X99="Yes"),OR(NOT('Search Criteria'!$B$12),O99="GREAT",O99="GOOD"),OR(NOT('Search Criteria'!$B$13),K99="Yes")),"YES","no")</f>
        <v>no</v>
      </c>
      <c r="D99" s="33" t="n">
        <v>2024</v>
      </c>
      <c r="E99" s="8" t="s">
        <v>95</v>
      </c>
      <c r="F99" s="8" t="s">
        <v>234</v>
      </c>
      <c r="G99" s="8" t="s">
        <v>382</v>
      </c>
      <c r="H99" s="45" t="n">
        <v>32212</v>
      </c>
      <c r="I99" s="46" t="n">
        <v>25926</v>
      </c>
      <c r="J99" s="37" t="n">
        <f aca="false">IFERROR(ROUND(I99/MAX(2026-D99,0.5),0),"")</f>
        <v>12963</v>
      </c>
      <c r="K99" s="35" t="s">
        <v>259</v>
      </c>
      <c r="L99" s="35" t="s">
        <v>256</v>
      </c>
      <c r="M99" s="35" t="s">
        <v>257</v>
      </c>
      <c r="N99" s="33" t="n">
        <v>25</v>
      </c>
      <c r="O99" s="35" t="s">
        <v>297</v>
      </c>
      <c r="P99" s="45" t="n">
        <v>29990</v>
      </c>
      <c r="Q99" s="38" t="n">
        <v>-0.074</v>
      </c>
      <c r="R99" s="35" t="s">
        <v>286</v>
      </c>
      <c r="S99" s="45" t="n">
        <v>260</v>
      </c>
      <c r="T99" s="35" t="s">
        <v>255</v>
      </c>
      <c r="U99" s="33" t="n">
        <v>1</v>
      </c>
      <c r="V99" s="35" t="s">
        <v>255</v>
      </c>
      <c r="W99" s="33" t="n">
        <v>7</v>
      </c>
      <c r="X99" s="35" t="s">
        <v>255</v>
      </c>
      <c r="Y99" s="35" t="s">
        <v>255</v>
      </c>
      <c r="Z99" s="35" t="s">
        <v>255</v>
      </c>
      <c r="AA99" s="35" t="s">
        <v>255</v>
      </c>
      <c r="AB99" s="35" t="s">
        <v>255</v>
      </c>
      <c r="AC99" s="35" t="s">
        <v>255</v>
      </c>
      <c r="AD99" s="35" t="s">
        <v>255</v>
      </c>
      <c r="AE99" s="35" t="s">
        <v>255</v>
      </c>
      <c r="AF99" s="35" t="s">
        <v>255</v>
      </c>
      <c r="AG99" s="35" t="s">
        <v>259</v>
      </c>
      <c r="AH99" s="35" t="s">
        <v>255</v>
      </c>
      <c r="AI99" s="35" t="s">
        <v>255</v>
      </c>
      <c r="AJ99" s="35" t="s">
        <v>255</v>
      </c>
      <c r="AK99" s="8" t="s">
        <v>435</v>
      </c>
      <c r="AL99" s="8" t="s">
        <v>260</v>
      </c>
      <c r="AM99" s="8" t="s">
        <v>383</v>
      </c>
      <c r="AN99" s="8" t="s">
        <v>527</v>
      </c>
      <c r="AO99" s="8" t="s">
        <v>398</v>
      </c>
      <c r="AP99" s="35" t="s">
        <v>265</v>
      </c>
      <c r="AQ99" s="39" t="n">
        <v>59.9</v>
      </c>
      <c r="AR99" s="39" t="n">
        <v>4.7</v>
      </c>
      <c r="AS99" s="33" t="n">
        <v>44</v>
      </c>
      <c r="AT99" s="45"/>
      <c r="AU99" s="45" t="n">
        <v>575.42</v>
      </c>
      <c r="AV99" s="45" t="n">
        <v>235</v>
      </c>
      <c r="AW99" s="39" t="n">
        <v>82.1</v>
      </c>
      <c r="AX99" s="39" t="n">
        <v>41.6</v>
      </c>
      <c r="AY99" s="39" t="n">
        <v>46.3</v>
      </c>
      <c r="AZ99" s="39" t="n">
        <v>92</v>
      </c>
      <c r="BA99" s="39" t="n">
        <v>0</v>
      </c>
      <c r="BB99" s="39" t="n">
        <v>20.1</v>
      </c>
      <c r="BC99" s="8" t="s">
        <v>528</v>
      </c>
      <c r="BD99" s="47" t="s">
        <v>423</v>
      </c>
      <c r="BE99" s="41" t="s">
        <v>529</v>
      </c>
    </row>
    <row r="100" customFormat="false" ht="15" hidden="false" customHeight="false" outlineLevel="0" collapsed="false">
      <c r="A100" s="33" t="n">
        <f aca="false">RANK(B100,$B$5:$B$266)</f>
        <v>96</v>
      </c>
      <c r="B100" s="34" t="n">
        <f aca="false">ROUND((AW100*'Scoring Weights'!$B$5+AX100*'Scoring Weights'!$B$6+AY100*'Scoring Weights'!$B$7+BA100*'Scoring Weights'!$B$8+AZ100*'Scoring Weights'!$B$9+BB100*'Scoring Weights'!$B$10)/MAX('Scoring Weights'!$B$11,1),1)</f>
        <v>52.6</v>
      </c>
      <c r="C100" s="35" t="str">
        <f aca="false">IF(AND(H100&lt;='Search Criteria'!$B$5,D100&gt;='Search Criteria'!$B$6,AQ100&lt;='Search Criteria'!$B$7,I100&lt;=INDEX('Search Criteria'!$B$18:$B$20,MATCH(E100,'Search Criteria'!$A$18:$A$20,0)),OR(NOT('Search Criteria'!$B$8),L100&lt;&gt;"FWD"),OR(NOT('Search Criteria'!$B$9),T100="Yes"),OR(NOT('Search Criteria'!$B$10),W100&gt;0),OR(NOT('Search Criteria'!$B$11),X100="Yes"),OR(NOT('Search Criteria'!$B$12),O100="GREAT",O100="GOOD"),OR(NOT('Search Criteria'!$B$13),K100="Yes")),"YES","no")</f>
        <v>YES</v>
      </c>
      <c r="D100" s="33" t="n">
        <v>2024</v>
      </c>
      <c r="E100" s="8" t="s">
        <v>94</v>
      </c>
      <c r="F100" s="8" t="s">
        <v>232</v>
      </c>
      <c r="G100" s="8" t="s">
        <v>332</v>
      </c>
      <c r="H100" s="45" t="n">
        <v>34238</v>
      </c>
      <c r="I100" s="46" t="n">
        <v>39309</v>
      </c>
      <c r="J100" s="37" t="n">
        <f aca="false">IFERROR(ROUND(I100/MAX(2026-D100,0.5),0),"")</f>
        <v>19655</v>
      </c>
      <c r="K100" s="35" t="s">
        <v>259</v>
      </c>
      <c r="L100" s="35" t="s">
        <v>256</v>
      </c>
      <c r="M100" s="35" t="s">
        <v>302</v>
      </c>
      <c r="N100" s="33" t="n">
        <v>37</v>
      </c>
      <c r="O100" s="35" t="s">
        <v>286</v>
      </c>
      <c r="P100" s="45" t="n">
        <v>32191</v>
      </c>
      <c r="Q100" s="38" t="n">
        <v>-0.064</v>
      </c>
      <c r="R100" s="35" t="s">
        <v>258</v>
      </c>
      <c r="S100" s="45" t="n">
        <v>610</v>
      </c>
      <c r="T100" s="35" t="s">
        <v>255</v>
      </c>
      <c r="U100" s="33" t="n">
        <v>1</v>
      </c>
      <c r="V100" s="35" t="s">
        <v>255</v>
      </c>
      <c r="W100" s="33" t="n">
        <v>5</v>
      </c>
      <c r="X100" s="35" t="s">
        <v>255</v>
      </c>
      <c r="Y100" s="35" t="s">
        <v>255</v>
      </c>
      <c r="Z100" s="35" t="s">
        <v>259</v>
      </c>
      <c r="AA100" s="35" t="s">
        <v>255</v>
      </c>
      <c r="AB100" s="35" t="s">
        <v>255</v>
      </c>
      <c r="AC100" s="35" t="s">
        <v>255</v>
      </c>
      <c r="AD100" s="35" t="s">
        <v>255</v>
      </c>
      <c r="AE100" s="35" t="s">
        <v>259</v>
      </c>
      <c r="AF100" s="35" t="s">
        <v>259</v>
      </c>
      <c r="AG100" s="35" t="s">
        <v>255</v>
      </c>
      <c r="AH100" s="35" t="s">
        <v>255</v>
      </c>
      <c r="AI100" s="35" t="s">
        <v>255</v>
      </c>
      <c r="AJ100" s="35" t="s">
        <v>259</v>
      </c>
      <c r="AK100" s="8" t="s">
        <v>309</v>
      </c>
      <c r="AL100" s="8" t="s">
        <v>261</v>
      </c>
      <c r="AM100" s="8" t="s">
        <v>303</v>
      </c>
      <c r="AN100" s="8" t="s">
        <v>378</v>
      </c>
      <c r="AO100" s="8" t="s">
        <v>379</v>
      </c>
      <c r="AP100" s="35" t="s">
        <v>265</v>
      </c>
      <c r="AQ100" s="39" t="n">
        <v>46.9</v>
      </c>
      <c r="AR100" s="39" t="n">
        <v>4.7</v>
      </c>
      <c r="AS100" s="33" t="n">
        <v>11</v>
      </c>
      <c r="AT100" s="45" t="n">
        <v>-238</v>
      </c>
      <c r="AU100" s="45" t="n">
        <v>611.61</v>
      </c>
      <c r="AV100" s="45" t="n">
        <v>261</v>
      </c>
      <c r="AW100" s="39" t="n">
        <v>89.8</v>
      </c>
      <c r="AX100" s="39" t="n">
        <v>55.9</v>
      </c>
      <c r="AY100" s="39" t="n">
        <v>30.7</v>
      </c>
      <c r="AZ100" s="39" t="n">
        <v>68</v>
      </c>
      <c r="BA100" s="39" t="n">
        <v>0</v>
      </c>
      <c r="BB100" s="39" t="n">
        <v>37.5</v>
      </c>
      <c r="BC100" s="8" t="s">
        <v>530</v>
      </c>
      <c r="BD100" s="47" t="s">
        <v>307</v>
      </c>
      <c r="BE100" s="41" t="s">
        <v>188</v>
      </c>
    </row>
    <row r="101" customFormat="false" ht="15" hidden="false" customHeight="false" outlineLevel="0" collapsed="false">
      <c r="A101" s="33" t="n">
        <f aca="false">RANK(B101,$B$5:$B$266)</f>
        <v>97</v>
      </c>
      <c r="B101" s="34" t="n">
        <f aca="false">ROUND((AW101*'Scoring Weights'!$B$5+AX101*'Scoring Weights'!$B$6+AY101*'Scoring Weights'!$B$7+BA101*'Scoring Weights'!$B$8+AZ101*'Scoring Weights'!$B$9+BB101*'Scoring Weights'!$B$10)/MAX('Scoring Weights'!$B$11,1),1)</f>
        <v>52.5</v>
      </c>
      <c r="C101" s="35" t="str">
        <f aca="false">IF(AND(H101&lt;='Search Criteria'!$B$5,D101&gt;='Search Criteria'!$B$6,AQ101&lt;='Search Criteria'!$B$7,I101&lt;=INDEX('Search Criteria'!$B$18:$B$20,MATCH(E101,'Search Criteria'!$A$18:$A$20,0)),OR(NOT('Search Criteria'!$B$8),L101&lt;&gt;"FWD"),OR(NOT('Search Criteria'!$B$9),T101="Yes"),OR(NOT('Search Criteria'!$B$10),W101&gt;0),OR(NOT('Search Criteria'!$B$11),X101="Yes"),OR(NOT('Search Criteria'!$B$12),O101="GREAT",O101="GOOD"),OR(NOT('Search Criteria'!$B$13),K101="Yes")),"YES","no")</f>
        <v>no</v>
      </c>
      <c r="D101" s="33" t="n">
        <v>2025</v>
      </c>
      <c r="E101" s="8" t="s">
        <v>94</v>
      </c>
      <c r="F101" s="8" t="s">
        <v>232</v>
      </c>
      <c r="G101" s="8" t="s">
        <v>332</v>
      </c>
      <c r="H101" s="45" t="n">
        <v>36238</v>
      </c>
      <c r="I101" s="46" t="n">
        <v>35943</v>
      </c>
      <c r="J101" s="37" t="n">
        <f aca="false">IFERROR(ROUND(I101/MAX(2026-D101,0.5),0),"")</f>
        <v>35943</v>
      </c>
      <c r="K101" s="35" t="s">
        <v>259</v>
      </c>
      <c r="L101" s="35" t="s">
        <v>256</v>
      </c>
      <c r="M101" s="35" t="s">
        <v>302</v>
      </c>
      <c r="N101" s="33" t="n">
        <v>37</v>
      </c>
      <c r="O101" s="35" t="s">
        <v>297</v>
      </c>
      <c r="P101" s="45" t="n">
        <v>33561</v>
      </c>
      <c r="Q101" s="38" t="n">
        <v>-0.08</v>
      </c>
      <c r="R101" s="35" t="s">
        <v>277</v>
      </c>
      <c r="S101" s="45"/>
      <c r="T101" s="35" t="s">
        <v>255</v>
      </c>
      <c r="U101" s="33" t="n">
        <v>1</v>
      </c>
      <c r="V101" s="35" t="s">
        <v>255</v>
      </c>
      <c r="W101" s="33" t="n">
        <v>11</v>
      </c>
      <c r="X101" s="35" t="s">
        <v>255</v>
      </c>
      <c r="Y101" s="35" t="s">
        <v>255</v>
      </c>
      <c r="Z101" s="35" t="s">
        <v>259</v>
      </c>
      <c r="AA101" s="35" t="s">
        <v>255</v>
      </c>
      <c r="AB101" s="35" t="s">
        <v>255</v>
      </c>
      <c r="AC101" s="35" t="s">
        <v>255</v>
      </c>
      <c r="AD101" s="35" t="s">
        <v>255</v>
      </c>
      <c r="AE101" s="35" t="s">
        <v>259</v>
      </c>
      <c r="AF101" s="35" t="s">
        <v>259</v>
      </c>
      <c r="AG101" s="35" t="s">
        <v>255</v>
      </c>
      <c r="AH101" s="35" t="s">
        <v>255</v>
      </c>
      <c r="AI101" s="35" t="s">
        <v>255</v>
      </c>
      <c r="AJ101" s="35" t="s">
        <v>259</v>
      </c>
      <c r="AK101" s="8" t="s">
        <v>261</v>
      </c>
      <c r="AL101" s="8" t="s">
        <v>261</v>
      </c>
      <c r="AM101" s="8" t="s">
        <v>303</v>
      </c>
      <c r="AN101" s="8" t="s">
        <v>378</v>
      </c>
      <c r="AO101" s="8" t="s">
        <v>379</v>
      </c>
      <c r="AP101" s="35" t="s">
        <v>265</v>
      </c>
      <c r="AQ101" s="39" t="n">
        <v>46.9</v>
      </c>
      <c r="AR101" s="39" t="n">
        <v>4.7</v>
      </c>
      <c r="AS101" s="33" t="n">
        <v>4</v>
      </c>
      <c r="AT101" s="45"/>
      <c r="AU101" s="45" t="n">
        <v>647.34</v>
      </c>
      <c r="AV101" s="45" t="n">
        <v>261</v>
      </c>
      <c r="AW101" s="39" t="n">
        <v>100</v>
      </c>
      <c r="AX101" s="39" t="n">
        <v>40.8</v>
      </c>
      <c r="AY101" s="39" t="n">
        <v>34.1</v>
      </c>
      <c r="AZ101" s="39" t="n">
        <v>68</v>
      </c>
      <c r="BA101" s="39" t="n">
        <v>0</v>
      </c>
      <c r="BB101" s="39" t="n">
        <v>37.5</v>
      </c>
      <c r="BC101" s="8" t="s">
        <v>531</v>
      </c>
      <c r="BD101" s="47" t="s">
        <v>274</v>
      </c>
      <c r="BE101" s="41" t="s">
        <v>532</v>
      </c>
    </row>
    <row r="102" customFormat="false" ht="15" hidden="false" customHeight="false" outlineLevel="0" collapsed="false">
      <c r="A102" s="33" t="n">
        <f aca="false">RANK(B102,$B$5:$B$266)</f>
        <v>98</v>
      </c>
      <c r="B102" s="34" t="n">
        <f aca="false">ROUND((AW102*'Scoring Weights'!$B$5+AX102*'Scoring Weights'!$B$6+AY102*'Scoring Weights'!$B$7+BA102*'Scoring Weights'!$B$8+AZ102*'Scoring Weights'!$B$9+BB102*'Scoring Weights'!$B$10)/MAX('Scoring Weights'!$B$11,1),1)</f>
        <v>52.3</v>
      </c>
      <c r="C102" s="35" t="str">
        <f aca="false">IF(AND(H102&lt;='Search Criteria'!$B$5,D102&gt;='Search Criteria'!$B$6,AQ102&lt;='Search Criteria'!$B$7,I102&lt;=INDEX('Search Criteria'!$B$18:$B$20,MATCH(E102,'Search Criteria'!$A$18:$A$20,0)),OR(NOT('Search Criteria'!$B$8),L102&lt;&gt;"FWD"),OR(NOT('Search Criteria'!$B$9),T102="Yes"),OR(NOT('Search Criteria'!$B$10),W102&gt;0),OR(NOT('Search Criteria'!$B$11),X102="Yes"),OR(NOT('Search Criteria'!$B$12),O102="GREAT",O102="GOOD"),OR(NOT('Search Criteria'!$B$13),K102="Yes")),"YES","no")</f>
        <v>no</v>
      </c>
      <c r="D102" s="33" t="n">
        <v>2022</v>
      </c>
      <c r="E102" s="8" t="s">
        <v>92</v>
      </c>
      <c r="F102" s="8" t="s">
        <v>236</v>
      </c>
      <c r="G102" s="8" t="s">
        <v>338</v>
      </c>
      <c r="H102" s="45" t="n">
        <v>23313</v>
      </c>
      <c r="I102" s="46" t="n">
        <v>61245</v>
      </c>
      <c r="J102" s="37" t="n">
        <f aca="false">IFERROR(ROUND(I102/MAX(2026-D102,0.5),0),"")</f>
        <v>15311</v>
      </c>
      <c r="K102" s="35" t="s">
        <v>259</v>
      </c>
      <c r="L102" s="35" t="s">
        <v>285</v>
      </c>
      <c r="M102" s="35" t="s">
        <v>257</v>
      </c>
      <c r="N102" s="33" t="n">
        <v>30</v>
      </c>
      <c r="O102" s="35" t="s">
        <v>258</v>
      </c>
      <c r="P102" s="45" t="n">
        <v>28699</v>
      </c>
      <c r="Q102" s="38" t="n">
        <v>0.188</v>
      </c>
      <c r="R102" s="35" t="s">
        <v>277</v>
      </c>
      <c r="S102" s="45"/>
      <c r="T102" s="35" t="s">
        <v>259</v>
      </c>
      <c r="U102" s="33" t="n">
        <v>1</v>
      </c>
      <c r="V102" s="35" t="s">
        <v>259</v>
      </c>
      <c r="W102" s="33" t="n">
        <v>15</v>
      </c>
      <c r="X102" s="35" t="s">
        <v>259</v>
      </c>
      <c r="Y102" s="35" t="s">
        <v>255</v>
      </c>
      <c r="Z102" s="35" t="s">
        <v>259</v>
      </c>
      <c r="AA102" s="35" t="s">
        <v>259</v>
      </c>
      <c r="AB102" s="35" t="s">
        <v>255</v>
      </c>
      <c r="AC102" s="35" t="s">
        <v>259</v>
      </c>
      <c r="AD102" s="35" t="s">
        <v>259</v>
      </c>
      <c r="AE102" s="35" t="s">
        <v>259</v>
      </c>
      <c r="AF102" s="35" t="s">
        <v>259</v>
      </c>
      <c r="AG102" s="35" t="s">
        <v>259</v>
      </c>
      <c r="AH102" s="35" t="s">
        <v>259</v>
      </c>
      <c r="AI102" s="35" t="s">
        <v>259</v>
      </c>
      <c r="AJ102" s="35" t="s">
        <v>259</v>
      </c>
      <c r="AK102" s="8" t="s">
        <v>292</v>
      </c>
      <c r="AL102" s="8" t="s">
        <v>261</v>
      </c>
      <c r="AM102" s="8" t="s">
        <v>278</v>
      </c>
      <c r="AN102" s="8" t="s">
        <v>533</v>
      </c>
      <c r="AO102" s="8" t="s">
        <v>506</v>
      </c>
      <c r="AP102" s="35" t="s">
        <v>272</v>
      </c>
      <c r="AQ102" s="39" t="n">
        <v>52.6</v>
      </c>
      <c r="AR102" s="39" t="n">
        <v>4.5</v>
      </c>
      <c r="AS102" s="33" t="n">
        <v>20</v>
      </c>
      <c r="AT102" s="45"/>
      <c r="AU102" s="45" t="n">
        <v>416.45</v>
      </c>
      <c r="AV102" s="45" t="n">
        <v>314</v>
      </c>
      <c r="AW102" s="39" t="n">
        <v>80.8</v>
      </c>
      <c r="AX102" s="39" t="n">
        <v>100</v>
      </c>
      <c r="AY102" s="39" t="n">
        <v>33.9</v>
      </c>
      <c r="AZ102" s="39" t="n">
        <v>12</v>
      </c>
      <c r="BA102" s="39" t="n">
        <v>0</v>
      </c>
      <c r="BB102" s="39" t="n">
        <v>29.9</v>
      </c>
      <c r="BC102" s="8" t="s">
        <v>534</v>
      </c>
      <c r="BD102" s="47" t="s">
        <v>365</v>
      </c>
      <c r="BE102" s="41" t="s">
        <v>535</v>
      </c>
    </row>
    <row r="103" customFormat="false" ht="15" hidden="false" customHeight="false" outlineLevel="0" collapsed="false">
      <c r="A103" s="33" t="n">
        <f aca="false">RANK(B103,$B$5:$B$266)</f>
        <v>99</v>
      </c>
      <c r="B103" s="34" t="n">
        <f aca="false">ROUND((AW103*'Scoring Weights'!$B$5+AX103*'Scoring Weights'!$B$6+AY103*'Scoring Weights'!$B$7+BA103*'Scoring Weights'!$B$8+AZ103*'Scoring Weights'!$B$9+BB103*'Scoring Weights'!$B$10)/MAX('Scoring Weights'!$B$11,1),1)</f>
        <v>52.2</v>
      </c>
      <c r="C103" s="35" t="str">
        <f aca="false">IF(AND(H103&lt;='Search Criteria'!$B$5,D103&gt;='Search Criteria'!$B$6,AQ103&lt;='Search Criteria'!$B$7,I103&lt;=INDEX('Search Criteria'!$B$18:$B$20,MATCH(E103,'Search Criteria'!$A$18:$A$20,0)),OR(NOT('Search Criteria'!$B$8),L103&lt;&gt;"FWD"),OR(NOT('Search Criteria'!$B$9),T103="Yes"),OR(NOT('Search Criteria'!$B$10),W103&gt;0),OR(NOT('Search Criteria'!$B$11),X103="Yes"),OR(NOT('Search Criteria'!$B$12),O103="GREAT",O103="GOOD"),OR(NOT('Search Criteria'!$B$13),K103="Yes")),"YES","no")</f>
        <v>no</v>
      </c>
      <c r="D103" s="33" t="n">
        <v>2025</v>
      </c>
      <c r="E103" s="8" t="s">
        <v>92</v>
      </c>
      <c r="F103" s="8" t="s">
        <v>236</v>
      </c>
      <c r="G103" s="8" t="s">
        <v>338</v>
      </c>
      <c r="H103" s="45" t="n">
        <v>27233</v>
      </c>
      <c r="I103" s="46" t="n">
        <v>53229</v>
      </c>
      <c r="J103" s="37" t="n">
        <f aca="false">IFERROR(ROUND(I103/MAX(2026-D103,0.5),0),"")</f>
        <v>53229</v>
      </c>
      <c r="K103" s="35" t="s">
        <v>259</v>
      </c>
      <c r="L103" s="35" t="s">
        <v>285</v>
      </c>
      <c r="M103" s="35" t="s">
        <v>257</v>
      </c>
      <c r="N103" s="33" t="n">
        <v>30</v>
      </c>
      <c r="O103" s="35" t="s">
        <v>258</v>
      </c>
      <c r="P103" s="45" t="n">
        <v>32922</v>
      </c>
      <c r="Q103" s="38" t="n">
        <v>0.173</v>
      </c>
      <c r="R103" s="35" t="s">
        <v>258</v>
      </c>
      <c r="S103" s="45" t="n">
        <v>310</v>
      </c>
      <c r="T103" s="35" t="s">
        <v>255</v>
      </c>
      <c r="U103" s="33" t="n">
        <v>1</v>
      </c>
      <c r="V103" s="35" t="s">
        <v>259</v>
      </c>
      <c r="W103" s="33" t="n">
        <v>0</v>
      </c>
      <c r="X103" s="35" t="s">
        <v>259</v>
      </c>
      <c r="Y103" s="35" t="s">
        <v>255</v>
      </c>
      <c r="Z103" s="35" t="s">
        <v>259</v>
      </c>
      <c r="AA103" s="35" t="s">
        <v>259</v>
      </c>
      <c r="AB103" s="35" t="s">
        <v>259</v>
      </c>
      <c r="AC103" s="35" t="s">
        <v>259</v>
      </c>
      <c r="AD103" s="35" t="s">
        <v>259</v>
      </c>
      <c r="AE103" s="35" t="s">
        <v>259</v>
      </c>
      <c r="AF103" s="35" t="s">
        <v>259</v>
      </c>
      <c r="AG103" s="35" t="s">
        <v>259</v>
      </c>
      <c r="AH103" s="35" t="s">
        <v>259</v>
      </c>
      <c r="AI103" s="35" t="s">
        <v>259</v>
      </c>
      <c r="AJ103" s="35" t="s">
        <v>259</v>
      </c>
      <c r="AK103" s="8" t="s">
        <v>260</v>
      </c>
      <c r="AL103" s="8" t="s">
        <v>261</v>
      </c>
      <c r="AM103" s="8" t="s">
        <v>278</v>
      </c>
      <c r="AN103" s="8" t="s">
        <v>375</v>
      </c>
      <c r="AO103" s="8" t="s">
        <v>376</v>
      </c>
      <c r="AP103" s="35" t="s">
        <v>265</v>
      </c>
      <c r="AQ103" s="39" t="n">
        <v>31.9</v>
      </c>
      <c r="AR103" s="39" t="n">
        <v>4.6</v>
      </c>
      <c r="AS103" s="33" t="n">
        <v>2</v>
      </c>
      <c r="AT103" s="45"/>
      <c r="AU103" s="45" t="n">
        <v>486.48</v>
      </c>
      <c r="AV103" s="45" t="n">
        <v>235</v>
      </c>
      <c r="AW103" s="39" t="n">
        <v>82.4</v>
      </c>
      <c r="AX103" s="39" t="n">
        <v>100</v>
      </c>
      <c r="AY103" s="39" t="n">
        <v>32.7</v>
      </c>
      <c r="AZ103" s="39" t="n">
        <v>0</v>
      </c>
      <c r="BA103" s="39" t="n">
        <v>0</v>
      </c>
      <c r="BB103" s="39" t="n">
        <v>57.4</v>
      </c>
      <c r="BC103" s="8" t="s">
        <v>536</v>
      </c>
      <c r="BD103" s="47" t="s">
        <v>290</v>
      </c>
      <c r="BE103" s="41" t="s">
        <v>537</v>
      </c>
    </row>
    <row r="104" customFormat="false" ht="15" hidden="false" customHeight="false" outlineLevel="0" collapsed="false">
      <c r="A104" s="33" t="n">
        <f aca="false">RANK(B104,$B$5:$B$266)</f>
        <v>99</v>
      </c>
      <c r="B104" s="34" t="n">
        <f aca="false">ROUND((AW104*'Scoring Weights'!$B$5+AX104*'Scoring Weights'!$B$6+AY104*'Scoring Weights'!$B$7+BA104*'Scoring Weights'!$B$8+AZ104*'Scoring Weights'!$B$9+BB104*'Scoring Weights'!$B$10)/MAX('Scoring Weights'!$B$11,1),1)</f>
        <v>52.2</v>
      </c>
      <c r="C104" s="35" t="str">
        <f aca="false">IF(AND(H104&lt;='Search Criteria'!$B$5,D104&gt;='Search Criteria'!$B$6,AQ104&lt;='Search Criteria'!$B$7,I104&lt;=INDEX('Search Criteria'!$B$18:$B$20,MATCH(E104,'Search Criteria'!$A$18:$A$20,0)),OR(NOT('Search Criteria'!$B$8),L104&lt;&gt;"FWD"),OR(NOT('Search Criteria'!$B$9),T104="Yes"),OR(NOT('Search Criteria'!$B$10),W104&gt;0),OR(NOT('Search Criteria'!$B$11),X104="Yes"),OR(NOT('Search Criteria'!$B$12),O104="GREAT",O104="GOOD"),OR(NOT('Search Criteria'!$B$13),K104="Yes")),"YES","no")</f>
        <v>no</v>
      </c>
      <c r="D104" s="33" t="n">
        <v>2025</v>
      </c>
      <c r="E104" s="8" t="s">
        <v>92</v>
      </c>
      <c r="F104" s="8" t="s">
        <v>236</v>
      </c>
      <c r="G104" s="8" t="s">
        <v>338</v>
      </c>
      <c r="H104" s="45" t="n">
        <v>37095</v>
      </c>
      <c r="I104" s="46" t="n">
        <v>12093</v>
      </c>
      <c r="J104" s="37" t="n">
        <f aca="false">IFERROR(ROUND(I104/MAX(2026-D104,0.5),0),"")</f>
        <v>12093</v>
      </c>
      <c r="K104" s="35" t="s">
        <v>259</v>
      </c>
      <c r="L104" s="35" t="s">
        <v>256</v>
      </c>
      <c r="M104" s="35" t="s">
        <v>302</v>
      </c>
      <c r="N104" s="33" t="n">
        <v>39</v>
      </c>
      <c r="O104" s="35" t="s">
        <v>276</v>
      </c>
      <c r="P104" s="45" t="n">
        <v>36206</v>
      </c>
      <c r="Q104" s="38" t="n">
        <v>-0.025</v>
      </c>
      <c r="R104" s="35" t="s">
        <v>258</v>
      </c>
      <c r="S104" s="45" t="n">
        <v>380</v>
      </c>
      <c r="T104" s="35" t="s">
        <v>255</v>
      </c>
      <c r="U104" s="33" t="n">
        <v>1</v>
      </c>
      <c r="V104" s="35" t="s">
        <v>259</v>
      </c>
      <c r="W104" s="33" t="n">
        <v>2</v>
      </c>
      <c r="X104" s="35" t="s">
        <v>259</v>
      </c>
      <c r="Y104" s="35" t="s">
        <v>255</v>
      </c>
      <c r="Z104" s="35" t="s">
        <v>259</v>
      </c>
      <c r="AA104" s="35" t="s">
        <v>259</v>
      </c>
      <c r="AB104" s="35" t="s">
        <v>255</v>
      </c>
      <c r="AC104" s="35" t="s">
        <v>259</v>
      </c>
      <c r="AD104" s="35" t="s">
        <v>259</v>
      </c>
      <c r="AE104" s="35" t="s">
        <v>259</v>
      </c>
      <c r="AF104" s="35" t="s">
        <v>259</v>
      </c>
      <c r="AG104" s="35" t="s">
        <v>259</v>
      </c>
      <c r="AH104" s="35" t="s">
        <v>255</v>
      </c>
      <c r="AI104" s="35" t="s">
        <v>259</v>
      </c>
      <c r="AJ104" s="35" t="s">
        <v>259</v>
      </c>
      <c r="AK104" s="8" t="s">
        <v>261</v>
      </c>
      <c r="AL104" s="8" t="s">
        <v>287</v>
      </c>
      <c r="AM104" s="8" t="s">
        <v>278</v>
      </c>
      <c r="AN104" s="8" t="s">
        <v>315</v>
      </c>
      <c r="AO104" s="8" t="s">
        <v>294</v>
      </c>
      <c r="AP104" s="35" t="s">
        <v>272</v>
      </c>
      <c r="AQ104" s="39" t="n">
        <v>41.6</v>
      </c>
      <c r="AR104" s="39" t="n">
        <v>4.6</v>
      </c>
      <c r="AS104" s="33" t="n">
        <v>25</v>
      </c>
      <c r="AT104" s="45"/>
      <c r="AU104" s="45" t="n">
        <v>662.65</v>
      </c>
      <c r="AV104" s="45" t="n">
        <v>314</v>
      </c>
      <c r="AW104" s="39" t="n">
        <v>84.8</v>
      </c>
      <c r="AX104" s="39" t="n">
        <v>52.9</v>
      </c>
      <c r="AY104" s="39" t="n">
        <v>76.3</v>
      </c>
      <c r="AZ104" s="39" t="n">
        <v>18</v>
      </c>
      <c r="BA104" s="39" t="n">
        <v>0</v>
      </c>
      <c r="BB104" s="39" t="n">
        <v>44.5</v>
      </c>
      <c r="BC104" s="8" t="s">
        <v>538</v>
      </c>
      <c r="BD104" s="47" t="s">
        <v>290</v>
      </c>
      <c r="BE104" s="41" t="s">
        <v>539</v>
      </c>
    </row>
    <row r="105" customFormat="false" ht="15" hidden="false" customHeight="false" outlineLevel="0" collapsed="false">
      <c r="A105" s="33" t="n">
        <f aca="false">RANK(B105,$B$5:$B$266)</f>
        <v>101</v>
      </c>
      <c r="B105" s="34" t="n">
        <f aca="false">ROUND((AW105*'Scoring Weights'!$B$5+AX105*'Scoring Weights'!$B$6+AY105*'Scoring Weights'!$B$7+BA105*'Scoring Weights'!$B$8+AZ105*'Scoring Weights'!$B$9+BB105*'Scoring Weights'!$B$10)/MAX('Scoring Weights'!$B$11,1),1)</f>
        <v>52.1</v>
      </c>
      <c r="C105" s="35" t="str">
        <f aca="false">IF(AND(H105&lt;='Search Criteria'!$B$5,D105&gt;='Search Criteria'!$B$6,AQ105&lt;='Search Criteria'!$B$7,I105&lt;=INDEX('Search Criteria'!$B$18:$B$20,MATCH(E105,'Search Criteria'!$A$18:$A$20,0)),OR(NOT('Search Criteria'!$B$8),L105&lt;&gt;"FWD"),OR(NOT('Search Criteria'!$B$9),T105="Yes"),OR(NOT('Search Criteria'!$B$10),W105&gt;0),OR(NOT('Search Criteria'!$B$11),X105="Yes"),OR(NOT('Search Criteria'!$B$12),O105="GREAT",O105="GOOD"),OR(NOT('Search Criteria'!$B$13),K105="Yes")),"YES","no")</f>
        <v>no</v>
      </c>
      <c r="D105" s="33" t="n">
        <v>2023</v>
      </c>
      <c r="E105" s="8" t="s">
        <v>94</v>
      </c>
      <c r="F105" s="8" t="s">
        <v>232</v>
      </c>
      <c r="G105" s="8" t="s">
        <v>254</v>
      </c>
      <c r="H105" s="45" t="n">
        <v>29997</v>
      </c>
      <c r="I105" s="46" t="n">
        <v>38196</v>
      </c>
      <c r="J105" s="37" t="n">
        <f aca="false">IFERROR(ROUND(I105/MAX(2026-D105,0.5),0),"")</f>
        <v>12732</v>
      </c>
      <c r="K105" s="35" t="s">
        <v>259</v>
      </c>
      <c r="L105" s="35" t="s">
        <v>256</v>
      </c>
      <c r="M105" s="35" t="s">
        <v>257</v>
      </c>
      <c r="N105" s="33" t="n">
        <v>29</v>
      </c>
      <c r="O105" s="35" t="s">
        <v>276</v>
      </c>
      <c r="P105" s="45" t="n">
        <v>31130</v>
      </c>
      <c r="Q105" s="38" t="n">
        <v>0.036</v>
      </c>
      <c r="R105" s="35" t="s">
        <v>258</v>
      </c>
      <c r="S105" s="45" t="n">
        <v>320</v>
      </c>
      <c r="T105" s="35" t="s">
        <v>259</v>
      </c>
      <c r="U105" s="33" t="n">
        <v>1</v>
      </c>
      <c r="V105" s="35" t="s">
        <v>255</v>
      </c>
      <c r="W105" s="33" t="n">
        <v>9</v>
      </c>
      <c r="X105" s="35" t="s">
        <v>255</v>
      </c>
      <c r="Y105" s="35" t="s">
        <v>255</v>
      </c>
      <c r="Z105" s="35" t="s">
        <v>259</v>
      </c>
      <c r="AA105" s="35" t="s">
        <v>255</v>
      </c>
      <c r="AB105" s="35" t="s">
        <v>259</v>
      </c>
      <c r="AC105" s="35" t="s">
        <v>255</v>
      </c>
      <c r="AD105" s="35" t="s">
        <v>255</v>
      </c>
      <c r="AE105" s="35" t="s">
        <v>259</v>
      </c>
      <c r="AF105" s="35" t="s">
        <v>259</v>
      </c>
      <c r="AG105" s="35" t="s">
        <v>255</v>
      </c>
      <c r="AH105" s="35" t="s">
        <v>255</v>
      </c>
      <c r="AI105" s="35" t="s">
        <v>255</v>
      </c>
      <c r="AJ105" s="35" t="s">
        <v>259</v>
      </c>
      <c r="AK105" s="8" t="s">
        <v>309</v>
      </c>
      <c r="AL105" s="8" t="s">
        <v>287</v>
      </c>
      <c r="AM105" s="8" t="s">
        <v>262</v>
      </c>
      <c r="AN105" s="8" t="s">
        <v>540</v>
      </c>
      <c r="AO105" s="8" t="s">
        <v>541</v>
      </c>
      <c r="AP105" s="35" t="s">
        <v>272</v>
      </c>
      <c r="AQ105" s="39" t="n">
        <v>69.8</v>
      </c>
      <c r="AR105" s="39" t="n">
        <v>4</v>
      </c>
      <c r="AS105" s="33" t="n">
        <v>506</v>
      </c>
      <c r="AT105" s="45" t="n">
        <v>4000</v>
      </c>
      <c r="AU105" s="45" t="n">
        <v>535.85</v>
      </c>
      <c r="AV105" s="45"/>
      <c r="AW105" s="39" t="n">
        <v>85.2</v>
      </c>
      <c r="AX105" s="39" t="n">
        <v>62.1</v>
      </c>
      <c r="AY105" s="39" t="n">
        <v>45</v>
      </c>
      <c r="AZ105" s="39" t="n">
        <v>56</v>
      </c>
      <c r="BA105" s="39" t="n">
        <v>0</v>
      </c>
      <c r="BB105" s="39" t="n">
        <v>6.9</v>
      </c>
      <c r="BC105" s="8" t="s">
        <v>542</v>
      </c>
      <c r="BD105" s="47" t="s">
        <v>330</v>
      </c>
      <c r="BE105" s="41" t="s">
        <v>543</v>
      </c>
    </row>
    <row r="106" customFormat="false" ht="15" hidden="false" customHeight="false" outlineLevel="0" collapsed="false">
      <c r="A106" s="33" t="n">
        <f aca="false">RANK(B106,$B$5:$B$266)</f>
        <v>101</v>
      </c>
      <c r="B106" s="34" t="n">
        <f aca="false">ROUND((AW106*'Scoring Weights'!$B$5+AX106*'Scoring Weights'!$B$6+AY106*'Scoring Weights'!$B$7+BA106*'Scoring Weights'!$B$8+AZ106*'Scoring Weights'!$B$9+BB106*'Scoring Weights'!$B$10)/MAX('Scoring Weights'!$B$11,1),1)</f>
        <v>52.1</v>
      </c>
      <c r="C106" s="35" t="str">
        <f aca="false">IF(AND(H106&lt;='Search Criteria'!$B$5,D106&gt;='Search Criteria'!$B$6,AQ106&lt;='Search Criteria'!$B$7,I106&lt;=INDEX('Search Criteria'!$B$18:$B$20,MATCH(E106,'Search Criteria'!$A$18:$A$20,0)),OR(NOT('Search Criteria'!$B$8),L106&lt;&gt;"FWD"),OR(NOT('Search Criteria'!$B$9),T106="Yes"),OR(NOT('Search Criteria'!$B$10),W106&gt;0),OR(NOT('Search Criteria'!$B$11),X106="Yes"),OR(NOT('Search Criteria'!$B$12),O106="GREAT",O106="GOOD"),OR(NOT('Search Criteria'!$B$13),K106="Yes")),"YES","no")</f>
        <v>no</v>
      </c>
      <c r="D106" s="33" t="n">
        <v>2025</v>
      </c>
      <c r="E106" s="8" t="s">
        <v>95</v>
      </c>
      <c r="F106" s="8" t="s">
        <v>234</v>
      </c>
      <c r="G106" s="8" t="s">
        <v>407</v>
      </c>
      <c r="H106" s="45" t="n">
        <v>30416</v>
      </c>
      <c r="I106" s="46" t="n">
        <v>13947</v>
      </c>
      <c r="J106" s="37" t="n">
        <f aca="false">IFERROR(ROUND(I106/MAX(2026-D106,0.5),0),"")</f>
        <v>13947</v>
      </c>
      <c r="K106" s="35" t="s">
        <v>259</v>
      </c>
      <c r="L106" s="35" t="s">
        <v>256</v>
      </c>
      <c r="M106" s="35" t="s">
        <v>257</v>
      </c>
      <c r="N106" s="33" t="n">
        <v>28</v>
      </c>
      <c r="O106" s="35" t="s">
        <v>297</v>
      </c>
      <c r="P106" s="45" t="n">
        <v>32927</v>
      </c>
      <c r="Q106" s="38" t="n">
        <v>0.076</v>
      </c>
      <c r="R106" s="35" t="s">
        <v>286</v>
      </c>
      <c r="S106" s="45" t="n">
        <v>260</v>
      </c>
      <c r="T106" s="35" t="s">
        <v>255</v>
      </c>
      <c r="U106" s="33" t="n">
        <v>1</v>
      </c>
      <c r="V106" s="35" t="s">
        <v>255</v>
      </c>
      <c r="W106" s="33" t="n">
        <v>4</v>
      </c>
      <c r="X106" s="35" t="s">
        <v>255</v>
      </c>
      <c r="Y106" s="35" t="s">
        <v>255</v>
      </c>
      <c r="Z106" s="35" t="s">
        <v>259</v>
      </c>
      <c r="AA106" s="35" t="s">
        <v>259</v>
      </c>
      <c r="AB106" s="35" t="s">
        <v>255</v>
      </c>
      <c r="AC106" s="35" t="s">
        <v>255</v>
      </c>
      <c r="AD106" s="35" t="s">
        <v>255</v>
      </c>
      <c r="AE106" s="35" t="s">
        <v>259</v>
      </c>
      <c r="AF106" s="35" t="s">
        <v>259</v>
      </c>
      <c r="AG106" s="35" t="s">
        <v>259</v>
      </c>
      <c r="AH106" s="35" t="s">
        <v>259</v>
      </c>
      <c r="AI106" s="35" t="s">
        <v>255</v>
      </c>
      <c r="AJ106" s="35" t="s">
        <v>259</v>
      </c>
      <c r="AK106" s="8" t="s">
        <v>269</v>
      </c>
      <c r="AL106" s="8" t="s">
        <v>261</v>
      </c>
      <c r="AM106" s="8" t="s">
        <v>278</v>
      </c>
      <c r="AN106" s="8" t="s">
        <v>405</v>
      </c>
      <c r="AO106" s="8" t="s">
        <v>340</v>
      </c>
      <c r="AP106" s="35" t="s">
        <v>265</v>
      </c>
      <c r="AQ106" s="39" t="n">
        <v>59.9</v>
      </c>
      <c r="AR106" s="39" t="n">
        <v>4.7</v>
      </c>
      <c r="AS106" s="33" t="n">
        <v>55</v>
      </c>
      <c r="AT106" s="45"/>
      <c r="AU106" s="45" t="n">
        <v>543.34</v>
      </c>
      <c r="AV106" s="45" t="n">
        <v>549</v>
      </c>
      <c r="AW106" s="39" t="n">
        <v>78.5</v>
      </c>
      <c r="AX106" s="39" t="n">
        <v>64.2</v>
      </c>
      <c r="AY106" s="39" t="n">
        <v>60.6</v>
      </c>
      <c r="AZ106" s="39" t="n">
        <v>40</v>
      </c>
      <c r="BA106" s="39" t="n">
        <v>0</v>
      </c>
      <c r="BB106" s="39" t="n">
        <v>20.2</v>
      </c>
      <c r="BC106" s="8" t="s">
        <v>544</v>
      </c>
      <c r="BD106" s="47" t="s">
        <v>282</v>
      </c>
      <c r="BE106" s="41" t="s">
        <v>545</v>
      </c>
    </row>
    <row r="107" customFormat="false" ht="15" hidden="false" customHeight="false" outlineLevel="0" collapsed="false">
      <c r="A107" s="33" t="n">
        <f aca="false">RANK(B107,$B$5:$B$266)</f>
        <v>103</v>
      </c>
      <c r="B107" s="34" t="n">
        <f aca="false">ROUND((AW107*'Scoring Weights'!$B$5+AX107*'Scoring Weights'!$B$6+AY107*'Scoring Weights'!$B$7+BA107*'Scoring Weights'!$B$8+AZ107*'Scoring Weights'!$B$9+BB107*'Scoring Weights'!$B$10)/MAX('Scoring Weights'!$B$11,1),1)</f>
        <v>51.8</v>
      </c>
      <c r="C107" s="35" t="str">
        <f aca="false">IF(AND(H107&lt;='Search Criteria'!$B$5,D107&gt;='Search Criteria'!$B$6,AQ107&lt;='Search Criteria'!$B$7,I107&lt;=INDEX('Search Criteria'!$B$18:$B$20,MATCH(E107,'Search Criteria'!$A$18:$A$20,0)),OR(NOT('Search Criteria'!$B$8),L107&lt;&gt;"FWD"),OR(NOT('Search Criteria'!$B$9),T107="Yes"),OR(NOT('Search Criteria'!$B$10),W107&gt;0),OR(NOT('Search Criteria'!$B$11),X107="Yes"),OR(NOT('Search Criteria'!$B$12),O107="GREAT",O107="GOOD"),OR(NOT('Search Criteria'!$B$13),K107="Yes")),"YES","no")</f>
        <v>no</v>
      </c>
      <c r="D107" s="33" t="n">
        <v>2024</v>
      </c>
      <c r="E107" s="8" t="s">
        <v>94</v>
      </c>
      <c r="F107" s="8" t="s">
        <v>232</v>
      </c>
      <c r="G107" s="8" t="s">
        <v>254</v>
      </c>
      <c r="H107" s="45" t="n">
        <v>33160</v>
      </c>
      <c r="I107" s="46" t="n">
        <v>36117</v>
      </c>
      <c r="J107" s="37" t="n">
        <f aca="false">IFERROR(ROUND(I107/MAX(2026-D107,0.5),0),"")</f>
        <v>18059</v>
      </c>
      <c r="K107" s="35" t="s">
        <v>259</v>
      </c>
      <c r="L107" s="35" t="s">
        <v>256</v>
      </c>
      <c r="M107" s="35" t="s">
        <v>257</v>
      </c>
      <c r="N107" s="33" t="n">
        <v>29</v>
      </c>
      <c r="O107" s="35" t="s">
        <v>297</v>
      </c>
      <c r="P107" s="45" t="n">
        <v>32411</v>
      </c>
      <c r="Q107" s="38" t="n">
        <v>-0.023</v>
      </c>
      <c r="R107" s="35" t="s">
        <v>258</v>
      </c>
      <c r="S107" s="45" t="n">
        <v>150</v>
      </c>
      <c r="T107" s="35" t="s">
        <v>255</v>
      </c>
      <c r="U107" s="33" t="n">
        <v>1</v>
      </c>
      <c r="V107" s="35" t="s">
        <v>255</v>
      </c>
      <c r="W107" s="33" t="n">
        <v>1</v>
      </c>
      <c r="X107" s="35" t="s">
        <v>255</v>
      </c>
      <c r="Y107" s="35" t="s">
        <v>255</v>
      </c>
      <c r="Z107" s="35" t="s">
        <v>259</v>
      </c>
      <c r="AA107" s="35" t="s">
        <v>255</v>
      </c>
      <c r="AB107" s="35" t="s">
        <v>255</v>
      </c>
      <c r="AC107" s="35" t="s">
        <v>255</v>
      </c>
      <c r="AD107" s="35" t="s">
        <v>255</v>
      </c>
      <c r="AE107" s="35" t="s">
        <v>259</v>
      </c>
      <c r="AF107" s="35" t="s">
        <v>255</v>
      </c>
      <c r="AG107" s="35" t="s">
        <v>255</v>
      </c>
      <c r="AH107" s="35" t="s">
        <v>255</v>
      </c>
      <c r="AI107" s="35" t="s">
        <v>255</v>
      </c>
      <c r="AJ107" s="35" t="s">
        <v>259</v>
      </c>
      <c r="AK107" s="8" t="s">
        <v>260</v>
      </c>
      <c r="AL107" s="8" t="s">
        <v>260</v>
      </c>
      <c r="AM107" s="8" t="s">
        <v>262</v>
      </c>
      <c r="AN107" s="8" t="s">
        <v>546</v>
      </c>
      <c r="AO107" s="8" t="s">
        <v>340</v>
      </c>
      <c r="AP107" s="35" t="s">
        <v>265</v>
      </c>
      <c r="AQ107" s="39" t="n">
        <v>59.1</v>
      </c>
      <c r="AR107" s="39" t="n">
        <v>4.4</v>
      </c>
      <c r="AS107" s="33" t="n">
        <v>48</v>
      </c>
      <c r="AT107" s="45"/>
      <c r="AU107" s="45" t="n">
        <v>592.36</v>
      </c>
      <c r="AV107" s="45" t="n">
        <v>660</v>
      </c>
      <c r="AW107" s="39" t="n">
        <v>89.2</v>
      </c>
      <c r="AX107" s="39" t="n">
        <v>49.3</v>
      </c>
      <c r="AY107" s="39" t="n">
        <v>33.9</v>
      </c>
      <c r="AZ107" s="39" t="n">
        <v>76</v>
      </c>
      <c r="BA107" s="39" t="n">
        <v>0</v>
      </c>
      <c r="BB107" s="39" t="n">
        <v>21.2</v>
      </c>
      <c r="BC107" s="8" t="s">
        <v>547</v>
      </c>
      <c r="BD107" s="47" t="s">
        <v>307</v>
      </c>
      <c r="BE107" s="41" t="s">
        <v>548</v>
      </c>
    </row>
    <row r="108" customFormat="false" ht="15" hidden="false" customHeight="false" outlineLevel="0" collapsed="false">
      <c r="A108" s="33" t="n">
        <f aca="false">RANK(B108,$B$5:$B$266)</f>
        <v>103</v>
      </c>
      <c r="B108" s="34" t="n">
        <f aca="false">ROUND((AW108*'Scoring Weights'!$B$5+AX108*'Scoring Weights'!$B$6+AY108*'Scoring Weights'!$B$7+BA108*'Scoring Weights'!$B$8+AZ108*'Scoring Weights'!$B$9+BB108*'Scoring Weights'!$B$10)/MAX('Scoring Weights'!$B$11,1),1)</f>
        <v>51.8</v>
      </c>
      <c r="C108" s="35" t="str">
        <f aca="false">IF(AND(H108&lt;='Search Criteria'!$B$5,D108&gt;='Search Criteria'!$B$6,AQ108&lt;='Search Criteria'!$B$7,I108&lt;=INDEX('Search Criteria'!$B$18:$B$20,MATCH(E108,'Search Criteria'!$A$18:$A$20,0)),OR(NOT('Search Criteria'!$B$8),L108&lt;&gt;"FWD"),OR(NOT('Search Criteria'!$B$9),T108="Yes"),OR(NOT('Search Criteria'!$B$10),W108&gt;0),OR(NOT('Search Criteria'!$B$11),X108="Yes"),OR(NOT('Search Criteria'!$B$12),O108="GREAT",O108="GOOD"),OR(NOT('Search Criteria'!$B$13),K108="Yes")),"YES","no")</f>
        <v>no</v>
      </c>
      <c r="D108" s="33" t="n">
        <v>2023</v>
      </c>
      <c r="E108" s="8" t="s">
        <v>94</v>
      </c>
      <c r="F108" s="8" t="s">
        <v>232</v>
      </c>
      <c r="G108" s="8" t="s">
        <v>328</v>
      </c>
      <c r="H108" s="45" t="n">
        <v>27238</v>
      </c>
      <c r="I108" s="46" t="n">
        <v>105097</v>
      </c>
      <c r="J108" s="37" t="n">
        <f aca="false">IFERROR(ROUND(I108/MAX(2026-D108,0.5),0),"")</f>
        <v>35032</v>
      </c>
      <c r="K108" s="35" t="s">
        <v>259</v>
      </c>
      <c r="L108" s="35" t="s">
        <v>256</v>
      </c>
      <c r="M108" s="35" t="s">
        <v>302</v>
      </c>
      <c r="N108" s="33" t="n">
        <v>37</v>
      </c>
      <c r="O108" s="35" t="s">
        <v>258</v>
      </c>
      <c r="P108" s="45" t="n">
        <v>26507</v>
      </c>
      <c r="Q108" s="38" t="n">
        <v>-0.028</v>
      </c>
      <c r="R108" s="35" t="s">
        <v>286</v>
      </c>
      <c r="S108" s="45" t="n">
        <v>730</v>
      </c>
      <c r="T108" s="35" t="s">
        <v>255</v>
      </c>
      <c r="U108" s="33" t="n">
        <v>1</v>
      </c>
      <c r="V108" s="35" t="s">
        <v>255</v>
      </c>
      <c r="W108" s="33" t="n">
        <v>19</v>
      </c>
      <c r="X108" s="35" t="s">
        <v>255</v>
      </c>
      <c r="Y108" s="35" t="s">
        <v>255</v>
      </c>
      <c r="Z108" s="35" t="s">
        <v>255</v>
      </c>
      <c r="AA108" s="35" t="s">
        <v>255</v>
      </c>
      <c r="AB108" s="35" t="s">
        <v>255</v>
      </c>
      <c r="AC108" s="35" t="s">
        <v>255</v>
      </c>
      <c r="AD108" s="35" t="s">
        <v>255</v>
      </c>
      <c r="AE108" s="35" t="s">
        <v>259</v>
      </c>
      <c r="AF108" s="35" t="s">
        <v>255</v>
      </c>
      <c r="AG108" s="35" t="s">
        <v>255</v>
      </c>
      <c r="AH108" s="35" t="s">
        <v>255</v>
      </c>
      <c r="AI108" s="35" t="s">
        <v>255</v>
      </c>
      <c r="AJ108" s="35" t="s">
        <v>255</v>
      </c>
      <c r="AK108" s="8" t="s">
        <v>367</v>
      </c>
      <c r="AL108" s="8" t="s">
        <v>260</v>
      </c>
      <c r="AM108" s="8" t="s">
        <v>303</v>
      </c>
      <c r="AN108" s="8" t="s">
        <v>378</v>
      </c>
      <c r="AO108" s="8" t="s">
        <v>379</v>
      </c>
      <c r="AP108" s="35" t="s">
        <v>265</v>
      </c>
      <c r="AQ108" s="39" t="n">
        <v>46.9</v>
      </c>
      <c r="AR108" s="39" t="n">
        <v>4.7</v>
      </c>
      <c r="AS108" s="33" t="n">
        <v>120</v>
      </c>
      <c r="AT108" s="45" t="n">
        <v>2739</v>
      </c>
      <c r="AU108" s="45" t="n">
        <v>486.57</v>
      </c>
      <c r="AV108" s="45" t="n">
        <v>261</v>
      </c>
      <c r="AW108" s="39" t="n">
        <v>81.5</v>
      </c>
      <c r="AX108" s="39" t="n">
        <v>73.4</v>
      </c>
      <c r="AY108" s="39" t="n">
        <v>0</v>
      </c>
      <c r="AZ108" s="39" t="n">
        <v>90</v>
      </c>
      <c r="BA108" s="39" t="n">
        <v>0</v>
      </c>
      <c r="BB108" s="39" t="n">
        <v>37.5</v>
      </c>
      <c r="BC108" s="8" t="s">
        <v>549</v>
      </c>
      <c r="BD108" s="47" t="s">
        <v>330</v>
      </c>
      <c r="BE108" s="41" t="s">
        <v>550</v>
      </c>
    </row>
    <row r="109" customFormat="false" ht="15" hidden="false" customHeight="false" outlineLevel="0" collapsed="false">
      <c r="A109" s="33" t="n">
        <f aca="false">RANK(B109,$B$5:$B$266)</f>
        <v>105</v>
      </c>
      <c r="B109" s="34" t="n">
        <f aca="false">ROUND((AW109*'Scoring Weights'!$B$5+AX109*'Scoring Weights'!$B$6+AY109*'Scoring Weights'!$B$7+BA109*'Scoring Weights'!$B$8+AZ109*'Scoring Weights'!$B$9+BB109*'Scoring Weights'!$B$10)/MAX('Scoring Weights'!$B$11,1),1)</f>
        <v>51.7</v>
      </c>
      <c r="C109" s="35" t="str">
        <f aca="false">IF(AND(H109&lt;='Search Criteria'!$B$5,D109&gt;='Search Criteria'!$B$6,AQ109&lt;='Search Criteria'!$B$7,I109&lt;=INDEX('Search Criteria'!$B$18:$B$20,MATCH(E109,'Search Criteria'!$A$18:$A$20,0)),OR(NOT('Search Criteria'!$B$8),L109&lt;&gt;"FWD"),OR(NOT('Search Criteria'!$B$9),T109="Yes"),OR(NOT('Search Criteria'!$B$10),W109&gt;0),OR(NOT('Search Criteria'!$B$11),X109="Yes"),OR(NOT('Search Criteria'!$B$12),O109="GREAT",O109="GOOD"),OR(NOT('Search Criteria'!$B$13),K109="Yes")),"YES","no")</f>
        <v>no</v>
      </c>
      <c r="D109" s="33" t="n">
        <v>2024</v>
      </c>
      <c r="E109" s="8" t="s">
        <v>94</v>
      </c>
      <c r="F109" s="8" t="s">
        <v>232</v>
      </c>
      <c r="G109" s="8" t="s">
        <v>332</v>
      </c>
      <c r="H109" s="45" t="n">
        <v>28385</v>
      </c>
      <c r="I109" s="46" t="n">
        <v>88791</v>
      </c>
      <c r="J109" s="37" t="n">
        <f aca="false">IFERROR(ROUND(I109/MAX(2026-D109,0.5),0),"")</f>
        <v>44396</v>
      </c>
      <c r="K109" s="35" t="s">
        <v>259</v>
      </c>
      <c r="L109" s="35" t="s">
        <v>256</v>
      </c>
      <c r="M109" s="35" t="s">
        <v>302</v>
      </c>
      <c r="N109" s="33" t="n">
        <v>37</v>
      </c>
      <c r="O109" s="35" t="s">
        <v>258</v>
      </c>
      <c r="P109" s="45" t="n">
        <v>28772</v>
      </c>
      <c r="Q109" s="38" t="n">
        <v>0.013</v>
      </c>
      <c r="R109" s="35" t="s">
        <v>258</v>
      </c>
      <c r="S109" s="45" t="n">
        <v>630</v>
      </c>
      <c r="T109" s="35" t="s">
        <v>255</v>
      </c>
      <c r="U109" s="33" t="n">
        <v>1</v>
      </c>
      <c r="V109" s="35" t="s">
        <v>255</v>
      </c>
      <c r="W109" s="33" t="n">
        <v>12</v>
      </c>
      <c r="X109" s="35" t="s">
        <v>255</v>
      </c>
      <c r="Y109" s="35" t="s">
        <v>255</v>
      </c>
      <c r="Z109" s="35" t="s">
        <v>259</v>
      </c>
      <c r="AA109" s="35" t="s">
        <v>255</v>
      </c>
      <c r="AB109" s="35" t="s">
        <v>255</v>
      </c>
      <c r="AC109" s="35" t="s">
        <v>255</v>
      </c>
      <c r="AD109" s="35" t="s">
        <v>255</v>
      </c>
      <c r="AE109" s="35" t="s">
        <v>259</v>
      </c>
      <c r="AF109" s="35" t="s">
        <v>259</v>
      </c>
      <c r="AG109" s="35" t="s">
        <v>255</v>
      </c>
      <c r="AH109" s="35" t="s">
        <v>255</v>
      </c>
      <c r="AI109" s="35" t="s">
        <v>255</v>
      </c>
      <c r="AJ109" s="35" t="s">
        <v>259</v>
      </c>
      <c r="AK109" s="8" t="s">
        <v>309</v>
      </c>
      <c r="AL109" s="8" t="s">
        <v>261</v>
      </c>
      <c r="AM109" s="8" t="s">
        <v>303</v>
      </c>
      <c r="AN109" s="8" t="s">
        <v>551</v>
      </c>
      <c r="AO109" s="8" t="s">
        <v>552</v>
      </c>
      <c r="AP109" s="35" t="s">
        <v>265</v>
      </c>
      <c r="AQ109" s="39" t="n">
        <v>67.8</v>
      </c>
      <c r="AR109" s="39" t="n">
        <v>4.5</v>
      </c>
      <c r="AS109" s="33" t="n">
        <v>3</v>
      </c>
      <c r="AT109" s="45"/>
      <c r="AU109" s="45" t="n">
        <v>507.06</v>
      </c>
      <c r="AV109" s="45" t="n">
        <v>195</v>
      </c>
      <c r="AW109" s="39" t="n">
        <v>93.3</v>
      </c>
      <c r="AX109" s="39" t="n">
        <v>79.5</v>
      </c>
      <c r="AY109" s="39" t="n">
        <v>0</v>
      </c>
      <c r="AZ109" s="39" t="n">
        <v>68</v>
      </c>
      <c r="BA109" s="39" t="n">
        <v>0</v>
      </c>
      <c r="BB109" s="39" t="n">
        <v>9.5</v>
      </c>
      <c r="BC109" s="8" t="s">
        <v>553</v>
      </c>
      <c r="BD109" s="47" t="s">
        <v>307</v>
      </c>
      <c r="BE109" s="41" t="s">
        <v>554</v>
      </c>
    </row>
    <row r="110" customFormat="false" ht="15" hidden="false" customHeight="false" outlineLevel="0" collapsed="false">
      <c r="A110" s="33" t="n">
        <f aca="false">RANK(B110,$B$5:$B$266)</f>
        <v>105</v>
      </c>
      <c r="B110" s="34" t="n">
        <f aca="false">ROUND((AW110*'Scoring Weights'!$B$5+AX110*'Scoring Weights'!$B$6+AY110*'Scoring Weights'!$B$7+BA110*'Scoring Weights'!$B$8+AZ110*'Scoring Weights'!$B$9+BB110*'Scoring Weights'!$B$10)/MAX('Scoring Weights'!$B$11,1),1)</f>
        <v>51.7</v>
      </c>
      <c r="C110" s="35" t="str">
        <f aca="false">IF(AND(H110&lt;='Search Criteria'!$B$5,D110&gt;='Search Criteria'!$B$6,AQ110&lt;='Search Criteria'!$B$7,I110&lt;=INDEX('Search Criteria'!$B$18:$B$20,MATCH(E110,'Search Criteria'!$A$18:$A$20,0)),OR(NOT('Search Criteria'!$B$8),L110&lt;&gt;"FWD"),OR(NOT('Search Criteria'!$B$9),T110="Yes"),OR(NOT('Search Criteria'!$B$10),W110&gt;0),OR(NOT('Search Criteria'!$B$11),X110="Yes"),OR(NOT('Search Criteria'!$B$12),O110="GREAT",O110="GOOD"),OR(NOT('Search Criteria'!$B$13),K110="Yes")),"YES","no")</f>
        <v>no</v>
      </c>
      <c r="D110" s="33" t="n">
        <v>2024</v>
      </c>
      <c r="E110" s="8" t="s">
        <v>95</v>
      </c>
      <c r="F110" s="8" t="s">
        <v>234</v>
      </c>
      <c r="G110" s="8" t="s">
        <v>407</v>
      </c>
      <c r="H110" s="45" t="n">
        <v>28096</v>
      </c>
      <c r="I110" s="46" t="n">
        <v>37255</v>
      </c>
      <c r="J110" s="37" t="n">
        <f aca="false">IFERROR(ROUND(I110/MAX(2026-D110,0.5),0),"")</f>
        <v>18628</v>
      </c>
      <c r="K110" s="35" t="s">
        <v>259</v>
      </c>
      <c r="L110" s="35" t="s">
        <v>256</v>
      </c>
      <c r="M110" s="35" t="s">
        <v>257</v>
      </c>
      <c r="N110" s="33" t="n">
        <v>28</v>
      </c>
      <c r="O110" s="35" t="s">
        <v>276</v>
      </c>
      <c r="P110" s="45" t="n">
        <v>28787</v>
      </c>
      <c r="Q110" s="38" t="n">
        <v>0.024</v>
      </c>
      <c r="R110" s="35" t="s">
        <v>258</v>
      </c>
      <c r="S110" s="45" t="n">
        <v>190</v>
      </c>
      <c r="T110" s="35" t="s">
        <v>255</v>
      </c>
      <c r="U110" s="33" t="n">
        <v>1</v>
      </c>
      <c r="V110" s="35" t="s">
        <v>255</v>
      </c>
      <c r="W110" s="33" t="n">
        <v>7</v>
      </c>
      <c r="X110" s="35" t="s">
        <v>255</v>
      </c>
      <c r="Y110" s="35" t="s">
        <v>255</v>
      </c>
      <c r="Z110" s="35" t="s">
        <v>259</v>
      </c>
      <c r="AA110" s="35" t="s">
        <v>255</v>
      </c>
      <c r="AB110" s="35" t="s">
        <v>255</v>
      </c>
      <c r="AC110" s="35" t="s">
        <v>255</v>
      </c>
      <c r="AD110" s="35" t="s">
        <v>255</v>
      </c>
      <c r="AE110" s="35" t="s">
        <v>259</v>
      </c>
      <c r="AF110" s="35" t="s">
        <v>255</v>
      </c>
      <c r="AG110" s="35" t="s">
        <v>259</v>
      </c>
      <c r="AH110" s="35" t="s">
        <v>259</v>
      </c>
      <c r="AI110" s="35" t="s">
        <v>255</v>
      </c>
      <c r="AJ110" s="35" t="s">
        <v>259</v>
      </c>
      <c r="AK110" s="8" t="s">
        <v>309</v>
      </c>
      <c r="AL110" s="8" t="s">
        <v>261</v>
      </c>
      <c r="AM110" s="8" t="s">
        <v>278</v>
      </c>
      <c r="AN110" s="8" t="s">
        <v>555</v>
      </c>
      <c r="AO110" s="8" t="s">
        <v>485</v>
      </c>
      <c r="AP110" s="35" t="s">
        <v>265</v>
      </c>
      <c r="AQ110" s="39" t="n">
        <v>53</v>
      </c>
      <c r="AR110" s="39" t="n">
        <v>4.7</v>
      </c>
      <c r="AS110" s="33" t="n">
        <v>20</v>
      </c>
      <c r="AT110" s="45" t="n">
        <v>-671</v>
      </c>
      <c r="AU110" s="45" t="n">
        <v>501.89</v>
      </c>
      <c r="AV110" s="45" t="n">
        <v>660</v>
      </c>
      <c r="AW110" s="39" t="n">
        <v>96.4</v>
      </c>
      <c r="AX110" s="39" t="n">
        <v>60.2</v>
      </c>
      <c r="AY110" s="39" t="n">
        <v>17.8</v>
      </c>
      <c r="AZ110" s="39" t="n">
        <v>62</v>
      </c>
      <c r="BA110" s="39" t="n">
        <v>0</v>
      </c>
      <c r="BB110" s="39" t="n">
        <v>29.3</v>
      </c>
      <c r="BC110" s="8" t="s">
        <v>556</v>
      </c>
      <c r="BD110" s="47" t="s">
        <v>423</v>
      </c>
      <c r="BE110" s="41" t="s">
        <v>557</v>
      </c>
    </row>
    <row r="111" customFormat="false" ht="15" hidden="false" customHeight="false" outlineLevel="0" collapsed="false">
      <c r="A111" s="33" t="n">
        <f aca="false">RANK(B111,$B$5:$B$266)</f>
        <v>107</v>
      </c>
      <c r="B111" s="34" t="n">
        <f aca="false">ROUND((AW111*'Scoring Weights'!$B$5+AX111*'Scoring Weights'!$B$6+AY111*'Scoring Weights'!$B$7+BA111*'Scoring Weights'!$B$8+AZ111*'Scoring Weights'!$B$9+BB111*'Scoring Weights'!$B$10)/MAX('Scoring Weights'!$B$11,1),1)</f>
        <v>51.6</v>
      </c>
      <c r="C111" s="35" t="str">
        <f aca="false">IF(AND(H111&lt;='Search Criteria'!$B$5,D111&gt;='Search Criteria'!$B$6,AQ111&lt;='Search Criteria'!$B$7,I111&lt;=INDEX('Search Criteria'!$B$18:$B$20,MATCH(E111,'Search Criteria'!$A$18:$A$20,0)),OR(NOT('Search Criteria'!$B$8),L111&lt;&gt;"FWD"),OR(NOT('Search Criteria'!$B$9),T111="Yes"),OR(NOT('Search Criteria'!$B$10),W111&gt;0),OR(NOT('Search Criteria'!$B$11),X111="Yes"),OR(NOT('Search Criteria'!$B$12),O111="GREAT",O111="GOOD"),OR(NOT('Search Criteria'!$B$13),K111="Yes")),"YES","no")</f>
        <v>no</v>
      </c>
      <c r="D111" s="33" t="n">
        <v>2025</v>
      </c>
      <c r="E111" s="8" t="s">
        <v>92</v>
      </c>
      <c r="F111" s="8" t="s">
        <v>236</v>
      </c>
      <c r="G111" s="8" t="s">
        <v>296</v>
      </c>
      <c r="H111" s="45" t="n">
        <v>37749</v>
      </c>
      <c r="I111" s="46" t="n">
        <v>18217</v>
      </c>
      <c r="J111" s="37" t="n">
        <f aca="false">IFERROR(ROUND(I111/MAX(2026-D111,0.5),0),"")</f>
        <v>18217</v>
      </c>
      <c r="K111" s="35" t="s">
        <v>259</v>
      </c>
      <c r="L111" s="35" t="s">
        <v>256</v>
      </c>
      <c r="M111" s="35" t="s">
        <v>302</v>
      </c>
      <c r="N111" s="33" t="n">
        <v>39</v>
      </c>
      <c r="O111" s="35" t="s">
        <v>286</v>
      </c>
      <c r="P111" s="45" t="n">
        <v>35717</v>
      </c>
      <c r="Q111" s="38" t="n">
        <v>-0.057</v>
      </c>
      <c r="R111" s="35" t="s">
        <v>258</v>
      </c>
      <c r="S111" s="45" t="n">
        <v>280</v>
      </c>
      <c r="T111" s="35" t="s">
        <v>255</v>
      </c>
      <c r="U111" s="33" t="n">
        <v>1</v>
      </c>
      <c r="V111" s="35" t="s">
        <v>255</v>
      </c>
      <c r="W111" s="33" t="n">
        <v>6</v>
      </c>
      <c r="X111" s="35" t="s">
        <v>259</v>
      </c>
      <c r="Y111" s="35" t="s">
        <v>255</v>
      </c>
      <c r="Z111" s="35" t="s">
        <v>259</v>
      </c>
      <c r="AA111" s="35" t="s">
        <v>259</v>
      </c>
      <c r="AB111" s="35" t="s">
        <v>255</v>
      </c>
      <c r="AC111" s="35" t="s">
        <v>259</v>
      </c>
      <c r="AD111" s="35" t="s">
        <v>259</v>
      </c>
      <c r="AE111" s="35" t="s">
        <v>259</v>
      </c>
      <c r="AF111" s="35" t="s">
        <v>259</v>
      </c>
      <c r="AG111" s="35" t="s">
        <v>259</v>
      </c>
      <c r="AH111" s="35" t="s">
        <v>255</v>
      </c>
      <c r="AI111" s="35" t="s">
        <v>255</v>
      </c>
      <c r="AJ111" s="35" t="s">
        <v>259</v>
      </c>
      <c r="AK111" s="8" t="s">
        <v>260</v>
      </c>
      <c r="AL111" s="8" t="s">
        <v>261</v>
      </c>
      <c r="AM111" s="8" t="s">
        <v>278</v>
      </c>
      <c r="AN111" s="8" t="s">
        <v>558</v>
      </c>
      <c r="AO111" s="8" t="s">
        <v>340</v>
      </c>
      <c r="AP111" s="35" t="s">
        <v>265</v>
      </c>
      <c r="AQ111" s="39" t="n">
        <v>60.1</v>
      </c>
      <c r="AR111" s="39" t="n">
        <v>4.7</v>
      </c>
      <c r="AS111" s="33" t="n">
        <v>4</v>
      </c>
      <c r="AT111" s="45"/>
      <c r="AU111" s="45" t="n">
        <v>674.33</v>
      </c>
      <c r="AV111" s="45" t="n">
        <v>549</v>
      </c>
      <c r="AW111" s="39" t="n">
        <v>95.2</v>
      </c>
      <c r="AX111" s="39" t="n">
        <v>56.9</v>
      </c>
      <c r="AY111" s="39" t="n">
        <v>57.2</v>
      </c>
      <c r="AZ111" s="39" t="n">
        <v>22</v>
      </c>
      <c r="BA111" s="39" t="n">
        <v>0</v>
      </c>
      <c r="BB111" s="39" t="n">
        <v>19.9</v>
      </c>
      <c r="BC111" s="8" t="s">
        <v>559</v>
      </c>
      <c r="BD111" s="47" t="s">
        <v>290</v>
      </c>
      <c r="BE111" s="41" t="s">
        <v>560</v>
      </c>
    </row>
    <row r="112" customFormat="false" ht="15" hidden="false" customHeight="false" outlineLevel="0" collapsed="false">
      <c r="A112" s="33" t="n">
        <f aca="false">RANK(B112,$B$5:$B$266)</f>
        <v>107</v>
      </c>
      <c r="B112" s="34" t="n">
        <f aca="false">ROUND((AW112*'Scoring Weights'!$B$5+AX112*'Scoring Weights'!$B$6+AY112*'Scoring Weights'!$B$7+BA112*'Scoring Weights'!$B$8+AZ112*'Scoring Weights'!$B$9+BB112*'Scoring Weights'!$B$10)/MAX('Scoring Weights'!$B$11,1),1)</f>
        <v>51.6</v>
      </c>
      <c r="C112" s="35" t="str">
        <f aca="false">IF(AND(H112&lt;='Search Criteria'!$B$5,D112&gt;='Search Criteria'!$B$6,AQ112&lt;='Search Criteria'!$B$7,I112&lt;=INDEX('Search Criteria'!$B$18:$B$20,MATCH(E112,'Search Criteria'!$A$18:$A$20,0)),OR(NOT('Search Criteria'!$B$8),L112&lt;&gt;"FWD"),OR(NOT('Search Criteria'!$B$9),T112="Yes"),OR(NOT('Search Criteria'!$B$10),W112&gt;0),OR(NOT('Search Criteria'!$B$11),X112="Yes"),OR(NOT('Search Criteria'!$B$12),O112="GREAT",O112="GOOD"),OR(NOT('Search Criteria'!$B$13),K112="Yes")),"YES","no")</f>
        <v>no</v>
      </c>
      <c r="D112" s="33" t="n">
        <v>2023</v>
      </c>
      <c r="E112" s="8" t="s">
        <v>94</v>
      </c>
      <c r="F112" s="8" t="s">
        <v>232</v>
      </c>
      <c r="G112" s="8" t="s">
        <v>254</v>
      </c>
      <c r="H112" s="45" t="n">
        <v>27309</v>
      </c>
      <c r="I112" s="46" t="n">
        <v>90517</v>
      </c>
      <c r="J112" s="37" t="n">
        <f aca="false">IFERROR(ROUND(I112/MAX(2026-D112,0.5),0),"")</f>
        <v>30172</v>
      </c>
      <c r="K112" s="35" t="s">
        <v>259</v>
      </c>
      <c r="L112" s="35" t="s">
        <v>256</v>
      </c>
      <c r="M112" s="35" t="s">
        <v>257</v>
      </c>
      <c r="N112" s="33" t="n">
        <v>29</v>
      </c>
      <c r="O112" s="35" t="s">
        <v>286</v>
      </c>
      <c r="P112" s="45" t="n">
        <v>27515</v>
      </c>
      <c r="Q112" s="38" t="n">
        <v>0.007</v>
      </c>
      <c r="R112" s="35" t="s">
        <v>258</v>
      </c>
      <c r="S112" s="45" t="n">
        <v>100</v>
      </c>
      <c r="T112" s="35" t="s">
        <v>255</v>
      </c>
      <c r="U112" s="33" t="n">
        <v>1</v>
      </c>
      <c r="V112" s="35" t="s">
        <v>255</v>
      </c>
      <c r="W112" s="33" t="n">
        <v>11</v>
      </c>
      <c r="X112" s="35" t="s">
        <v>255</v>
      </c>
      <c r="Y112" s="35" t="s">
        <v>255</v>
      </c>
      <c r="Z112" s="35" t="s">
        <v>259</v>
      </c>
      <c r="AA112" s="35" t="s">
        <v>255</v>
      </c>
      <c r="AB112" s="35" t="s">
        <v>255</v>
      </c>
      <c r="AC112" s="35" t="s">
        <v>255</v>
      </c>
      <c r="AD112" s="35" t="s">
        <v>255</v>
      </c>
      <c r="AE112" s="35" t="s">
        <v>259</v>
      </c>
      <c r="AF112" s="35" t="s">
        <v>259</v>
      </c>
      <c r="AG112" s="35" t="s">
        <v>255</v>
      </c>
      <c r="AH112" s="35" t="s">
        <v>255</v>
      </c>
      <c r="AI112" s="35" t="s">
        <v>255</v>
      </c>
      <c r="AJ112" s="35" t="s">
        <v>259</v>
      </c>
      <c r="AK112" s="8" t="s">
        <v>261</v>
      </c>
      <c r="AL112" s="8" t="s">
        <v>261</v>
      </c>
      <c r="AM112" s="8" t="s">
        <v>262</v>
      </c>
      <c r="AN112" s="8" t="s">
        <v>505</v>
      </c>
      <c r="AO112" s="8" t="s">
        <v>506</v>
      </c>
      <c r="AP112" s="35" t="s">
        <v>272</v>
      </c>
      <c r="AQ112" s="39" t="n">
        <v>52.7</v>
      </c>
      <c r="AR112" s="39" t="n">
        <v>4.8</v>
      </c>
      <c r="AS112" s="33" t="n">
        <v>68</v>
      </c>
      <c r="AT112" s="45"/>
      <c r="AU112" s="45" t="n">
        <v>487.84</v>
      </c>
      <c r="AV112" s="45" t="n">
        <v>314</v>
      </c>
      <c r="AW112" s="39" t="n">
        <v>100</v>
      </c>
      <c r="AX112" s="39" t="n">
        <v>66.5</v>
      </c>
      <c r="AY112" s="39" t="n">
        <v>0</v>
      </c>
      <c r="AZ112" s="39" t="n">
        <v>68</v>
      </c>
      <c r="BA112" s="39" t="n">
        <v>0</v>
      </c>
      <c r="BB112" s="39" t="n">
        <v>29.7</v>
      </c>
      <c r="BC112" s="8" t="s">
        <v>561</v>
      </c>
      <c r="BD112" s="47" t="s">
        <v>330</v>
      </c>
      <c r="BE112" s="41" t="s">
        <v>562</v>
      </c>
    </row>
    <row r="113" customFormat="false" ht="15" hidden="false" customHeight="false" outlineLevel="0" collapsed="false">
      <c r="A113" s="33" t="n">
        <f aca="false">RANK(B113,$B$5:$B$266)</f>
        <v>107</v>
      </c>
      <c r="B113" s="34" t="n">
        <f aca="false">ROUND((AW113*'Scoring Weights'!$B$5+AX113*'Scoring Weights'!$B$6+AY113*'Scoring Weights'!$B$7+BA113*'Scoring Weights'!$B$8+AZ113*'Scoring Weights'!$B$9+BB113*'Scoring Weights'!$B$10)/MAX('Scoring Weights'!$B$11,1),1)</f>
        <v>51.6</v>
      </c>
      <c r="C113" s="35" t="str">
        <f aca="false">IF(AND(H113&lt;='Search Criteria'!$B$5,D113&gt;='Search Criteria'!$B$6,AQ113&lt;='Search Criteria'!$B$7,I113&lt;=INDEX('Search Criteria'!$B$18:$B$20,MATCH(E113,'Search Criteria'!$A$18:$A$20,0)),OR(NOT('Search Criteria'!$B$8),L113&lt;&gt;"FWD"),OR(NOT('Search Criteria'!$B$9),T113="Yes"),OR(NOT('Search Criteria'!$B$10),W113&gt;0),OR(NOT('Search Criteria'!$B$11),X113="Yes"),OR(NOT('Search Criteria'!$B$12),O113="GREAT",O113="GOOD"),OR(NOT('Search Criteria'!$B$13),K113="Yes")),"YES","no")</f>
        <v>no</v>
      </c>
      <c r="D113" s="33" t="n">
        <v>2024</v>
      </c>
      <c r="E113" s="8" t="s">
        <v>92</v>
      </c>
      <c r="F113" s="8" t="s">
        <v>236</v>
      </c>
      <c r="G113" s="8" t="s">
        <v>296</v>
      </c>
      <c r="H113" s="45" t="n">
        <v>29346</v>
      </c>
      <c r="I113" s="46" t="n">
        <v>60134</v>
      </c>
      <c r="J113" s="37" t="n">
        <f aca="false">IFERROR(ROUND(I113/MAX(2026-D113,0.5),0),"")</f>
        <v>30067</v>
      </c>
      <c r="K113" s="35" t="s">
        <v>259</v>
      </c>
      <c r="L113" s="35" t="s">
        <v>256</v>
      </c>
      <c r="M113" s="35" t="s">
        <v>257</v>
      </c>
      <c r="N113" s="33" t="n">
        <v>28</v>
      </c>
      <c r="O113" s="35" t="s">
        <v>286</v>
      </c>
      <c r="P113" s="45" t="n">
        <v>31177</v>
      </c>
      <c r="Q113" s="38" t="n">
        <v>0.059</v>
      </c>
      <c r="R113" s="35" t="s">
        <v>258</v>
      </c>
      <c r="S113" s="45" t="n">
        <v>310</v>
      </c>
      <c r="T113" s="35" t="s">
        <v>259</v>
      </c>
      <c r="U113" s="33" t="n">
        <v>1</v>
      </c>
      <c r="V113" s="35" t="s">
        <v>259</v>
      </c>
      <c r="W113" s="33" t="n">
        <v>2</v>
      </c>
      <c r="X113" s="35" t="s">
        <v>255</v>
      </c>
      <c r="Y113" s="35" t="s">
        <v>255</v>
      </c>
      <c r="Z113" s="35" t="s">
        <v>255</v>
      </c>
      <c r="AA113" s="35" t="s">
        <v>255</v>
      </c>
      <c r="AB113" s="35" t="s">
        <v>255</v>
      </c>
      <c r="AC113" s="35" t="s">
        <v>255</v>
      </c>
      <c r="AD113" s="35" t="s">
        <v>259</v>
      </c>
      <c r="AE113" s="35" t="s">
        <v>259</v>
      </c>
      <c r="AF113" s="35" t="s">
        <v>259</v>
      </c>
      <c r="AG113" s="35" t="s">
        <v>259</v>
      </c>
      <c r="AH113" s="35" t="s">
        <v>259</v>
      </c>
      <c r="AI113" s="35" t="s">
        <v>255</v>
      </c>
      <c r="AJ113" s="35" t="s">
        <v>259</v>
      </c>
      <c r="AK113" s="8" t="s">
        <v>261</v>
      </c>
      <c r="AL113" s="8" t="s">
        <v>261</v>
      </c>
      <c r="AM113" s="8" t="s">
        <v>278</v>
      </c>
      <c r="AN113" s="8" t="s">
        <v>362</v>
      </c>
      <c r="AO113" s="8" t="s">
        <v>363</v>
      </c>
      <c r="AP113" s="35" t="s">
        <v>265</v>
      </c>
      <c r="AQ113" s="39" t="n">
        <v>7.6</v>
      </c>
      <c r="AR113" s="39" t="n">
        <v>4.7</v>
      </c>
      <c r="AS113" s="33" t="n">
        <v>53</v>
      </c>
      <c r="AT113" s="45" t="n">
        <v>1966</v>
      </c>
      <c r="AU113" s="45" t="n">
        <v>524.22</v>
      </c>
      <c r="AV113" s="45" t="n">
        <v>250</v>
      </c>
      <c r="AW113" s="39" t="n">
        <v>71.2</v>
      </c>
      <c r="AX113" s="39" t="n">
        <v>74.2</v>
      </c>
      <c r="AY113" s="39" t="n">
        <v>27.9</v>
      </c>
      <c r="AZ113" s="39" t="n">
        <v>52</v>
      </c>
      <c r="BA113" s="39" t="n">
        <v>0</v>
      </c>
      <c r="BB113" s="39" t="n">
        <v>89.9</v>
      </c>
      <c r="BC113" s="8" t="s">
        <v>563</v>
      </c>
      <c r="BD113" s="47" t="s">
        <v>346</v>
      </c>
      <c r="BE113" s="41" t="s">
        <v>564</v>
      </c>
    </row>
    <row r="114" customFormat="false" ht="15" hidden="false" customHeight="false" outlineLevel="0" collapsed="false">
      <c r="A114" s="33" t="n">
        <f aca="false">RANK(B114,$B$5:$B$266)</f>
        <v>110</v>
      </c>
      <c r="B114" s="34" t="n">
        <f aca="false">ROUND((AW114*'Scoring Weights'!$B$5+AX114*'Scoring Weights'!$B$6+AY114*'Scoring Weights'!$B$7+BA114*'Scoring Weights'!$B$8+AZ114*'Scoring Weights'!$B$9+BB114*'Scoring Weights'!$B$10)/MAX('Scoring Weights'!$B$11,1),1)</f>
        <v>51.5</v>
      </c>
      <c r="C114" s="35" t="str">
        <f aca="false">IF(AND(H114&lt;='Search Criteria'!$B$5,D114&gt;='Search Criteria'!$B$6,AQ114&lt;='Search Criteria'!$B$7,I114&lt;=INDEX('Search Criteria'!$B$18:$B$20,MATCH(E114,'Search Criteria'!$A$18:$A$20,0)),OR(NOT('Search Criteria'!$B$8),L114&lt;&gt;"FWD"),OR(NOT('Search Criteria'!$B$9),T114="Yes"),OR(NOT('Search Criteria'!$B$10),W114&gt;0),OR(NOT('Search Criteria'!$B$11),X114="Yes"),OR(NOT('Search Criteria'!$B$12),O114="GREAT",O114="GOOD"),OR(NOT('Search Criteria'!$B$13),K114="Yes")),"YES","no")</f>
        <v>no</v>
      </c>
      <c r="D114" s="33" t="n">
        <v>2022</v>
      </c>
      <c r="E114" s="8" t="s">
        <v>94</v>
      </c>
      <c r="F114" s="8" t="s">
        <v>232</v>
      </c>
      <c r="G114" s="8" t="s">
        <v>254</v>
      </c>
      <c r="H114" s="45" t="n">
        <v>26548</v>
      </c>
      <c r="I114" s="46" t="n">
        <v>62650</v>
      </c>
      <c r="J114" s="37" t="n">
        <f aca="false">IFERROR(ROUND(I114/MAX(2026-D114,0.5),0),"")</f>
        <v>15663</v>
      </c>
      <c r="K114" s="35" t="s">
        <v>259</v>
      </c>
      <c r="L114" s="35" t="s">
        <v>256</v>
      </c>
      <c r="M114" s="35" t="s">
        <v>257</v>
      </c>
      <c r="N114" s="33" t="n">
        <v>29</v>
      </c>
      <c r="O114" s="35" t="s">
        <v>276</v>
      </c>
      <c r="P114" s="45" t="n">
        <v>28302</v>
      </c>
      <c r="Q114" s="38" t="n">
        <v>0.062</v>
      </c>
      <c r="R114" s="35" t="s">
        <v>258</v>
      </c>
      <c r="S114" s="45" t="n">
        <v>370</v>
      </c>
      <c r="T114" s="35" t="s">
        <v>255</v>
      </c>
      <c r="U114" s="33" t="n">
        <v>1</v>
      </c>
      <c r="V114" s="35" t="s">
        <v>255</v>
      </c>
      <c r="W114" s="33" t="n">
        <v>14</v>
      </c>
      <c r="X114" s="35" t="s">
        <v>255</v>
      </c>
      <c r="Y114" s="35" t="s">
        <v>255</v>
      </c>
      <c r="Z114" s="35" t="s">
        <v>259</v>
      </c>
      <c r="AA114" s="35" t="s">
        <v>255</v>
      </c>
      <c r="AB114" s="35" t="s">
        <v>255</v>
      </c>
      <c r="AC114" s="35" t="s">
        <v>255</v>
      </c>
      <c r="AD114" s="35" t="s">
        <v>255</v>
      </c>
      <c r="AE114" s="35" t="s">
        <v>259</v>
      </c>
      <c r="AF114" s="35" t="s">
        <v>259</v>
      </c>
      <c r="AG114" s="35" t="s">
        <v>259</v>
      </c>
      <c r="AH114" s="35" t="s">
        <v>259</v>
      </c>
      <c r="AI114" s="35" t="s">
        <v>255</v>
      </c>
      <c r="AJ114" s="35" t="s">
        <v>259</v>
      </c>
      <c r="AK114" s="8" t="s">
        <v>367</v>
      </c>
      <c r="AL114" s="8" t="s">
        <v>260</v>
      </c>
      <c r="AM114" s="8" t="s">
        <v>262</v>
      </c>
      <c r="AN114" s="8" t="s">
        <v>565</v>
      </c>
      <c r="AO114" s="8" t="s">
        <v>566</v>
      </c>
      <c r="AP114" s="35" t="s">
        <v>265</v>
      </c>
      <c r="AQ114" s="39" t="n">
        <v>59.2</v>
      </c>
      <c r="AR114" s="39" t="n">
        <v>4.7</v>
      </c>
      <c r="AS114" s="33" t="n">
        <v>36</v>
      </c>
      <c r="AT114" s="45"/>
      <c r="AU114" s="45" t="n">
        <v>474.24</v>
      </c>
      <c r="AV114" s="45"/>
      <c r="AW114" s="39" t="n">
        <v>100</v>
      </c>
      <c r="AX114" s="39" t="n">
        <v>65.9</v>
      </c>
      <c r="AY114" s="39" t="n">
        <v>13.2</v>
      </c>
      <c r="AZ114" s="39" t="n">
        <v>54</v>
      </c>
      <c r="BA114" s="39" t="n">
        <v>0</v>
      </c>
      <c r="BB114" s="39" t="n">
        <v>21.1</v>
      </c>
      <c r="BC114" s="8" t="s">
        <v>567</v>
      </c>
      <c r="BD114" s="47" t="s">
        <v>431</v>
      </c>
      <c r="BE114" s="41" t="s">
        <v>568</v>
      </c>
    </row>
    <row r="115" customFormat="false" ht="15" hidden="false" customHeight="false" outlineLevel="0" collapsed="false">
      <c r="A115" s="33" t="n">
        <f aca="false">RANK(B115,$B$5:$B$266)</f>
        <v>111</v>
      </c>
      <c r="B115" s="34" t="n">
        <f aca="false">ROUND((AW115*'Scoring Weights'!$B$5+AX115*'Scoring Weights'!$B$6+AY115*'Scoring Weights'!$B$7+BA115*'Scoring Weights'!$B$8+AZ115*'Scoring Weights'!$B$9+BB115*'Scoring Weights'!$B$10)/MAX('Scoring Weights'!$B$11,1),1)</f>
        <v>51.2</v>
      </c>
      <c r="C115" s="35" t="str">
        <f aca="false">IF(AND(H115&lt;='Search Criteria'!$B$5,D115&gt;='Search Criteria'!$B$6,AQ115&lt;='Search Criteria'!$B$7,I115&lt;=INDEX('Search Criteria'!$B$18:$B$20,MATCH(E115,'Search Criteria'!$A$18:$A$20,0)),OR(NOT('Search Criteria'!$B$8),L115&lt;&gt;"FWD"),OR(NOT('Search Criteria'!$B$9),T115="Yes"),OR(NOT('Search Criteria'!$B$10),W115&gt;0),OR(NOT('Search Criteria'!$B$11),X115="Yes"),OR(NOT('Search Criteria'!$B$12),O115="GREAT",O115="GOOD"),OR(NOT('Search Criteria'!$B$13),K115="Yes")),"YES","no")</f>
        <v>no</v>
      </c>
      <c r="D115" s="33" t="n">
        <v>2025</v>
      </c>
      <c r="E115" s="8" t="s">
        <v>92</v>
      </c>
      <c r="F115" s="8" t="s">
        <v>236</v>
      </c>
      <c r="G115" s="8" t="s">
        <v>296</v>
      </c>
      <c r="H115" s="45" t="n">
        <v>33768</v>
      </c>
      <c r="I115" s="46" t="n">
        <v>34767</v>
      </c>
      <c r="J115" s="37" t="n">
        <f aca="false">IFERROR(ROUND(I115/MAX(2026-D115,0.5),0),"")</f>
        <v>34767</v>
      </c>
      <c r="K115" s="35" t="s">
        <v>259</v>
      </c>
      <c r="L115" s="35" t="s">
        <v>256</v>
      </c>
      <c r="M115" s="35" t="s">
        <v>257</v>
      </c>
      <c r="N115" s="33" t="n">
        <v>28</v>
      </c>
      <c r="O115" s="35" t="s">
        <v>297</v>
      </c>
      <c r="P115" s="45" t="n">
        <v>34396</v>
      </c>
      <c r="Q115" s="38" t="n">
        <v>0.018</v>
      </c>
      <c r="R115" s="35" t="s">
        <v>258</v>
      </c>
      <c r="S115" s="45" t="n">
        <v>480</v>
      </c>
      <c r="T115" s="35" t="s">
        <v>255</v>
      </c>
      <c r="U115" s="33" t="n">
        <v>1</v>
      </c>
      <c r="V115" s="35" t="s">
        <v>259</v>
      </c>
      <c r="W115" s="33" t="n">
        <v>5</v>
      </c>
      <c r="X115" s="35" t="s">
        <v>259</v>
      </c>
      <c r="Y115" s="35" t="s">
        <v>255</v>
      </c>
      <c r="Z115" s="35" t="s">
        <v>259</v>
      </c>
      <c r="AA115" s="35" t="s">
        <v>259</v>
      </c>
      <c r="AB115" s="35" t="s">
        <v>255</v>
      </c>
      <c r="AC115" s="35" t="s">
        <v>259</v>
      </c>
      <c r="AD115" s="35" t="s">
        <v>255</v>
      </c>
      <c r="AE115" s="35" t="s">
        <v>259</v>
      </c>
      <c r="AF115" s="35" t="s">
        <v>259</v>
      </c>
      <c r="AG115" s="35" t="s">
        <v>259</v>
      </c>
      <c r="AH115" s="35" t="s">
        <v>259</v>
      </c>
      <c r="AI115" s="35" t="s">
        <v>255</v>
      </c>
      <c r="AJ115" s="35" t="s">
        <v>259</v>
      </c>
      <c r="AK115" s="8" t="s">
        <v>358</v>
      </c>
      <c r="AL115" s="8" t="s">
        <v>261</v>
      </c>
      <c r="AM115" s="8" t="s">
        <v>278</v>
      </c>
      <c r="AN115" s="8" t="s">
        <v>263</v>
      </c>
      <c r="AO115" s="8" t="s">
        <v>264</v>
      </c>
      <c r="AP115" s="35" t="s">
        <v>265</v>
      </c>
      <c r="AQ115" s="39" t="n">
        <v>0.4</v>
      </c>
      <c r="AR115" s="39" t="n">
        <v>4.6</v>
      </c>
      <c r="AS115" s="33" t="n">
        <v>10</v>
      </c>
      <c r="AT115" s="45"/>
      <c r="AU115" s="45" t="n">
        <v>603.22</v>
      </c>
      <c r="AV115" s="45" t="n">
        <v>261</v>
      </c>
      <c r="AW115" s="39" t="n">
        <v>84.2</v>
      </c>
      <c r="AX115" s="39" t="n">
        <v>55.5</v>
      </c>
      <c r="AY115" s="39" t="n">
        <v>45.7</v>
      </c>
      <c r="AZ115" s="39" t="n">
        <v>28</v>
      </c>
      <c r="BA115" s="39" t="n">
        <v>0</v>
      </c>
      <c r="BB115" s="39" t="n">
        <v>99.4</v>
      </c>
      <c r="BC115" s="8" t="s">
        <v>569</v>
      </c>
      <c r="BD115" s="47" t="s">
        <v>290</v>
      </c>
      <c r="BE115" s="41" t="s">
        <v>570</v>
      </c>
    </row>
    <row r="116" customFormat="false" ht="15" hidden="false" customHeight="false" outlineLevel="0" collapsed="false">
      <c r="A116" s="33" t="n">
        <f aca="false">RANK(B116,$B$5:$B$266)</f>
        <v>111</v>
      </c>
      <c r="B116" s="34" t="n">
        <f aca="false">ROUND((AW116*'Scoring Weights'!$B$5+AX116*'Scoring Weights'!$B$6+AY116*'Scoring Weights'!$B$7+BA116*'Scoring Weights'!$B$8+AZ116*'Scoring Weights'!$B$9+BB116*'Scoring Weights'!$B$10)/MAX('Scoring Weights'!$B$11,1),1)</f>
        <v>51.2</v>
      </c>
      <c r="C116" s="35" t="str">
        <f aca="false">IF(AND(H116&lt;='Search Criteria'!$B$5,D116&gt;='Search Criteria'!$B$6,AQ116&lt;='Search Criteria'!$B$7,I116&lt;=INDEX('Search Criteria'!$B$18:$B$20,MATCH(E116,'Search Criteria'!$A$18:$A$20,0)),OR(NOT('Search Criteria'!$B$8),L116&lt;&gt;"FWD"),OR(NOT('Search Criteria'!$B$9),T116="Yes"),OR(NOT('Search Criteria'!$B$10),W116&gt;0),OR(NOT('Search Criteria'!$B$11),X116="Yes"),OR(NOT('Search Criteria'!$B$12),O116="GREAT",O116="GOOD"),OR(NOT('Search Criteria'!$B$13),K116="Yes")),"YES","no")</f>
        <v>no</v>
      </c>
      <c r="D116" s="33" t="n">
        <v>2025</v>
      </c>
      <c r="E116" s="8" t="s">
        <v>92</v>
      </c>
      <c r="F116" s="8" t="s">
        <v>236</v>
      </c>
      <c r="G116" s="8" t="s">
        <v>338</v>
      </c>
      <c r="H116" s="45" t="n">
        <v>30000</v>
      </c>
      <c r="I116" s="46" t="n">
        <v>39917</v>
      </c>
      <c r="J116" s="37" t="n">
        <f aca="false">IFERROR(ROUND(I116/MAX(2026-D116,0.5),0),"")</f>
        <v>39917</v>
      </c>
      <c r="K116" s="35" t="s">
        <v>259</v>
      </c>
      <c r="L116" s="35" t="s">
        <v>256</v>
      </c>
      <c r="M116" s="35" t="s">
        <v>257</v>
      </c>
      <c r="N116" s="33" t="n">
        <v>30</v>
      </c>
      <c r="O116" s="35" t="s">
        <v>258</v>
      </c>
      <c r="P116" s="45" t="n">
        <v>33985</v>
      </c>
      <c r="Q116" s="38" t="n">
        <v>0.117</v>
      </c>
      <c r="R116" s="35" t="s">
        <v>258</v>
      </c>
      <c r="S116" s="45" t="n">
        <v>290</v>
      </c>
      <c r="T116" s="35" t="s">
        <v>255</v>
      </c>
      <c r="U116" s="33" t="n">
        <v>1</v>
      </c>
      <c r="V116" s="35" t="s">
        <v>259</v>
      </c>
      <c r="W116" s="33" t="n">
        <v>2</v>
      </c>
      <c r="X116" s="35" t="s">
        <v>259</v>
      </c>
      <c r="Y116" s="35" t="s">
        <v>255</v>
      </c>
      <c r="Z116" s="35" t="s">
        <v>259</v>
      </c>
      <c r="AA116" s="35" t="s">
        <v>259</v>
      </c>
      <c r="AB116" s="35" t="s">
        <v>259</v>
      </c>
      <c r="AC116" s="35" t="s">
        <v>259</v>
      </c>
      <c r="AD116" s="35" t="s">
        <v>259</v>
      </c>
      <c r="AE116" s="35" t="s">
        <v>259</v>
      </c>
      <c r="AF116" s="35" t="s">
        <v>259</v>
      </c>
      <c r="AG116" s="35" t="s">
        <v>259</v>
      </c>
      <c r="AH116" s="35" t="s">
        <v>259</v>
      </c>
      <c r="AI116" s="35" t="s">
        <v>259</v>
      </c>
      <c r="AJ116" s="35" t="s">
        <v>259</v>
      </c>
      <c r="AK116" s="8" t="s">
        <v>358</v>
      </c>
      <c r="AL116" s="8" t="s">
        <v>261</v>
      </c>
      <c r="AM116" s="8" t="s">
        <v>278</v>
      </c>
      <c r="AN116" s="8" t="s">
        <v>571</v>
      </c>
      <c r="AO116" s="8" t="s">
        <v>572</v>
      </c>
      <c r="AP116" s="35" t="s">
        <v>265</v>
      </c>
      <c r="AQ116" s="39" t="n">
        <v>65.9</v>
      </c>
      <c r="AR116" s="39" t="n">
        <v>4.6</v>
      </c>
      <c r="AS116" s="33" t="n">
        <v>19</v>
      </c>
      <c r="AT116" s="45" t="n">
        <v>488</v>
      </c>
      <c r="AU116" s="45" t="n">
        <v>535.91</v>
      </c>
      <c r="AV116" s="45" t="n">
        <v>261</v>
      </c>
      <c r="AW116" s="39" t="n">
        <v>84.8</v>
      </c>
      <c r="AX116" s="39" t="n">
        <v>95.1</v>
      </c>
      <c r="AY116" s="39" t="n">
        <v>42.1</v>
      </c>
      <c r="AZ116" s="39" t="n">
        <v>0</v>
      </c>
      <c r="BA116" s="39" t="n">
        <v>0</v>
      </c>
      <c r="BB116" s="39" t="n">
        <v>12.1</v>
      </c>
      <c r="BC116" s="8" t="s">
        <v>573</v>
      </c>
      <c r="BD116" s="47" t="s">
        <v>290</v>
      </c>
      <c r="BE116" s="41" t="s">
        <v>574</v>
      </c>
    </row>
    <row r="117" customFormat="false" ht="15" hidden="false" customHeight="false" outlineLevel="0" collapsed="false">
      <c r="A117" s="33" t="n">
        <f aca="false">RANK(B117,$B$5:$B$266)</f>
        <v>113</v>
      </c>
      <c r="B117" s="34" t="n">
        <f aca="false">ROUND((AW117*'Scoring Weights'!$B$5+AX117*'Scoring Weights'!$B$6+AY117*'Scoring Weights'!$B$7+BA117*'Scoring Weights'!$B$8+AZ117*'Scoring Weights'!$B$9+BB117*'Scoring Weights'!$B$10)/MAX('Scoring Weights'!$B$11,1),1)</f>
        <v>51.1</v>
      </c>
      <c r="C117" s="35" t="str">
        <f aca="false">IF(AND(H117&lt;='Search Criteria'!$B$5,D117&gt;='Search Criteria'!$B$6,AQ117&lt;='Search Criteria'!$B$7,I117&lt;=INDEX('Search Criteria'!$B$18:$B$20,MATCH(E117,'Search Criteria'!$A$18:$A$20,0)),OR(NOT('Search Criteria'!$B$8),L117&lt;&gt;"FWD"),OR(NOT('Search Criteria'!$B$9),T117="Yes"),OR(NOT('Search Criteria'!$B$10),W117&gt;0),OR(NOT('Search Criteria'!$B$11),X117="Yes"),OR(NOT('Search Criteria'!$B$12),O117="GREAT",O117="GOOD"),OR(NOT('Search Criteria'!$B$13),K117="Yes")),"YES","no")</f>
        <v>no</v>
      </c>
      <c r="D117" s="33" t="n">
        <v>2023</v>
      </c>
      <c r="E117" s="8" t="s">
        <v>92</v>
      </c>
      <c r="F117" s="8" t="s">
        <v>235</v>
      </c>
      <c r="G117" s="8" t="s">
        <v>575</v>
      </c>
      <c r="H117" s="45" t="n">
        <v>37126</v>
      </c>
      <c r="I117" s="46" t="n">
        <v>33866</v>
      </c>
      <c r="J117" s="37" t="n">
        <f aca="false">IFERROR(ROUND(I117/MAX(2026-D117,0.5),0),"")</f>
        <v>11289</v>
      </c>
      <c r="K117" s="35" t="s">
        <v>259</v>
      </c>
      <c r="L117" s="35" t="s">
        <v>576</v>
      </c>
      <c r="M117" s="35" t="s">
        <v>257</v>
      </c>
      <c r="N117" s="33" t="n">
        <v>17</v>
      </c>
      <c r="O117" s="35" t="s">
        <v>297</v>
      </c>
      <c r="P117" s="45"/>
      <c r="Q117" s="38"/>
      <c r="R117" s="35" t="s">
        <v>258</v>
      </c>
      <c r="S117" s="45" t="n">
        <v>500</v>
      </c>
      <c r="T117" s="35" t="s">
        <v>255</v>
      </c>
      <c r="U117" s="33" t="n">
        <v>2</v>
      </c>
      <c r="V117" s="35" t="s">
        <v>255</v>
      </c>
      <c r="W117" s="33" t="n">
        <v>5</v>
      </c>
      <c r="X117" s="35" t="s">
        <v>259</v>
      </c>
      <c r="Y117" s="35" t="s">
        <v>255</v>
      </c>
      <c r="Z117" s="35" t="s">
        <v>259</v>
      </c>
      <c r="AA117" s="35" t="s">
        <v>259</v>
      </c>
      <c r="AB117" s="35" t="s">
        <v>255</v>
      </c>
      <c r="AC117" s="35" t="s">
        <v>259</v>
      </c>
      <c r="AD117" s="35" t="s">
        <v>259</v>
      </c>
      <c r="AE117" s="35" t="s">
        <v>259</v>
      </c>
      <c r="AF117" s="35" t="s">
        <v>259</v>
      </c>
      <c r="AG117" s="35" t="s">
        <v>259</v>
      </c>
      <c r="AH117" s="35" t="s">
        <v>259</v>
      </c>
      <c r="AI117" s="35" t="s">
        <v>255</v>
      </c>
      <c r="AJ117" s="35" t="s">
        <v>259</v>
      </c>
      <c r="AK117" s="8" t="s">
        <v>358</v>
      </c>
      <c r="AL117" s="8" t="s">
        <v>260</v>
      </c>
      <c r="AM117" s="8" t="s">
        <v>477</v>
      </c>
      <c r="AN117" s="8" t="s">
        <v>279</v>
      </c>
      <c r="AO117" s="8" t="s">
        <v>280</v>
      </c>
      <c r="AP117" s="35" t="s">
        <v>265</v>
      </c>
      <c r="AQ117" s="39" t="n">
        <v>10.8</v>
      </c>
      <c r="AR117" s="39" t="n">
        <v>4.5</v>
      </c>
      <c r="AS117" s="33" t="n">
        <v>8</v>
      </c>
      <c r="AT117" s="45"/>
      <c r="AU117" s="45" t="n">
        <v>663.2</v>
      </c>
      <c r="AV117" s="45" t="n">
        <v>261</v>
      </c>
      <c r="AW117" s="39" t="n">
        <v>78.5</v>
      </c>
      <c r="AX117" s="39" t="n">
        <v>58.2</v>
      </c>
      <c r="AY117" s="39" t="n">
        <v>63.1</v>
      </c>
      <c r="AZ117" s="39" t="n">
        <v>16</v>
      </c>
      <c r="BA117" s="39" t="n">
        <v>0</v>
      </c>
      <c r="BB117" s="39" t="n">
        <v>85.6</v>
      </c>
      <c r="BC117" s="8" t="s">
        <v>577</v>
      </c>
      <c r="BD117" s="47" t="s">
        <v>578</v>
      </c>
      <c r="BE117" s="41" t="s">
        <v>579</v>
      </c>
    </row>
    <row r="118" customFormat="false" ht="15" hidden="false" customHeight="false" outlineLevel="0" collapsed="false">
      <c r="A118" s="33" t="n">
        <f aca="false">RANK(B118,$B$5:$B$266)</f>
        <v>114</v>
      </c>
      <c r="B118" s="34" t="n">
        <f aca="false">ROUND((AW118*'Scoring Weights'!$B$5+AX118*'Scoring Weights'!$B$6+AY118*'Scoring Weights'!$B$7+BA118*'Scoring Weights'!$B$8+AZ118*'Scoring Weights'!$B$9+BB118*'Scoring Weights'!$B$10)/MAX('Scoring Weights'!$B$11,1),1)</f>
        <v>50.9</v>
      </c>
      <c r="C118" s="35" t="str">
        <f aca="false">IF(AND(H118&lt;='Search Criteria'!$B$5,D118&gt;='Search Criteria'!$B$6,AQ118&lt;='Search Criteria'!$B$7,I118&lt;=INDEX('Search Criteria'!$B$18:$B$20,MATCH(E118,'Search Criteria'!$A$18:$A$20,0)),OR(NOT('Search Criteria'!$B$8),L118&lt;&gt;"FWD"),OR(NOT('Search Criteria'!$B$9),T118="Yes"),OR(NOT('Search Criteria'!$B$10),W118&gt;0),OR(NOT('Search Criteria'!$B$11),X118="Yes"),OR(NOT('Search Criteria'!$B$12),O118="GREAT",O118="GOOD"),OR(NOT('Search Criteria'!$B$13),K118="Yes")),"YES","no")</f>
        <v>no</v>
      </c>
      <c r="D118" s="33" t="n">
        <v>2022</v>
      </c>
      <c r="E118" s="8" t="s">
        <v>92</v>
      </c>
      <c r="F118" s="8" t="s">
        <v>236</v>
      </c>
      <c r="G118" s="8" t="s">
        <v>338</v>
      </c>
      <c r="H118" s="45" t="n">
        <v>21309</v>
      </c>
      <c r="I118" s="46" t="n">
        <v>90288</v>
      </c>
      <c r="J118" s="37" t="n">
        <f aca="false">IFERROR(ROUND(I118/MAX(2026-D118,0.5),0),"")</f>
        <v>22572</v>
      </c>
      <c r="K118" s="35" t="s">
        <v>259</v>
      </c>
      <c r="L118" s="35" t="s">
        <v>285</v>
      </c>
      <c r="M118" s="35" t="s">
        <v>257</v>
      </c>
      <c r="N118" s="33" t="n">
        <v>30</v>
      </c>
      <c r="O118" s="35" t="s">
        <v>258</v>
      </c>
      <c r="P118" s="45" t="n">
        <v>26381</v>
      </c>
      <c r="Q118" s="38" t="n">
        <v>0.192</v>
      </c>
      <c r="R118" s="35" t="s">
        <v>258</v>
      </c>
      <c r="S118" s="45" t="n">
        <v>100</v>
      </c>
      <c r="T118" s="35" t="s">
        <v>255</v>
      </c>
      <c r="U118" s="33" t="n">
        <v>1</v>
      </c>
      <c r="V118" s="35" t="s">
        <v>259</v>
      </c>
      <c r="W118" s="33" t="n">
        <v>17</v>
      </c>
      <c r="X118" s="35" t="s">
        <v>259</v>
      </c>
      <c r="Y118" s="35" t="s">
        <v>255</v>
      </c>
      <c r="Z118" s="35" t="s">
        <v>259</v>
      </c>
      <c r="AA118" s="35" t="s">
        <v>259</v>
      </c>
      <c r="AB118" s="35" t="s">
        <v>255</v>
      </c>
      <c r="AC118" s="35" t="s">
        <v>259</v>
      </c>
      <c r="AD118" s="35" t="s">
        <v>259</v>
      </c>
      <c r="AE118" s="35" t="s">
        <v>259</v>
      </c>
      <c r="AF118" s="35" t="s">
        <v>259</v>
      </c>
      <c r="AG118" s="35" t="s">
        <v>259</v>
      </c>
      <c r="AH118" s="35" t="s">
        <v>259</v>
      </c>
      <c r="AI118" s="35" t="s">
        <v>259</v>
      </c>
      <c r="AJ118" s="35" t="s">
        <v>259</v>
      </c>
      <c r="AK118" s="8" t="s">
        <v>292</v>
      </c>
      <c r="AL118" s="8" t="s">
        <v>261</v>
      </c>
      <c r="AM118" s="8" t="s">
        <v>278</v>
      </c>
      <c r="AN118" s="8" t="s">
        <v>505</v>
      </c>
      <c r="AO118" s="8" t="s">
        <v>506</v>
      </c>
      <c r="AP118" s="35" t="s">
        <v>272</v>
      </c>
      <c r="AQ118" s="39" t="n">
        <v>52.7</v>
      </c>
      <c r="AR118" s="39" t="n">
        <v>4.8</v>
      </c>
      <c r="AS118" s="33" t="n">
        <v>16</v>
      </c>
      <c r="AT118" s="45"/>
      <c r="AU118" s="45" t="n">
        <v>380.65</v>
      </c>
      <c r="AV118" s="45" t="n">
        <v>314</v>
      </c>
      <c r="AW118" s="39" t="n">
        <v>94.4</v>
      </c>
      <c r="AX118" s="39" t="n">
        <v>100</v>
      </c>
      <c r="AY118" s="39" t="n">
        <v>6.8</v>
      </c>
      <c r="AZ118" s="39" t="n">
        <v>12</v>
      </c>
      <c r="BA118" s="39" t="n">
        <v>0</v>
      </c>
      <c r="BB118" s="39" t="n">
        <v>29.7</v>
      </c>
      <c r="BC118" s="8" t="s">
        <v>580</v>
      </c>
      <c r="BD118" s="47" t="s">
        <v>365</v>
      </c>
      <c r="BE118" s="41" t="s">
        <v>581</v>
      </c>
    </row>
    <row r="119" customFormat="false" ht="15" hidden="false" customHeight="false" outlineLevel="0" collapsed="false">
      <c r="A119" s="33" t="n">
        <f aca="false">RANK(B119,$B$5:$B$266)</f>
        <v>115</v>
      </c>
      <c r="B119" s="34" t="n">
        <f aca="false">ROUND((AW119*'Scoring Weights'!$B$5+AX119*'Scoring Weights'!$B$6+AY119*'Scoring Weights'!$B$7+BA119*'Scoring Weights'!$B$8+AZ119*'Scoring Weights'!$B$9+BB119*'Scoring Weights'!$B$10)/MAX('Scoring Weights'!$B$11,1),1)</f>
        <v>50.8</v>
      </c>
      <c r="C119" s="35" t="str">
        <f aca="false">IF(AND(H119&lt;='Search Criteria'!$B$5,D119&gt;='Search Criteria'!$B$6,AQ119&lt;='Search Criteria'!$B$7,I119&lt;=INDEX('Search Criteria'!$B$18:$B$20,MATCH(E119,'Search Criteria'!$A$18:$A$20,0)),OR(NOT('Search Criteria'!$B$8),L119&lt;&gt;"FWD"),OR(NOT('Search Criteria'!$B$9),T119="Yes"),OR(NOT('Search Criteria'!$B$10),W119&gt;0),OR(NOT('Search Criteria'!$B$11),X119="Yes"),OR(NOT('Search Criteria'!$B$12),O119="GREAT",O119="GOOD"),OR(NOT('Search Criteria'!$B$13),K119="Yes")),"YES","no")</f>
        <v>no</v>
      </c>
      <c r="D119" s="33" t="n">
        <v>2024</v>
      </c>
      <c r="E119" s="8" t="s">
        <v>92</v>
      </c>
      <c r="F119" s="8" t="s">
        <v>236</v>
      </c>
      <c r="G119" s="8" t="s">
        <v>284</v>
      </c>
      <c r="H119" s="45" t="n">
        <v>34847</v>
      </c>
      <c r="I119" s="46" t="n">
        <v>80397</v>
      </c>
      <c r="J119" s="37" t="n">
        <f aca="false">IFERROR(ROUND(I119/MAX(2026-D119,0.5),0),"")</f>
        <v>40199</v>
      </c>
      <c r="K119" s="35" t="s">
        <v>259</v>
      </c>
      <c r="L119" s="35" t="s">
        <v>256</v>
      </c>
      <c r="M119" s="35" t="s">
        <v>302</v>
      </c>
      <c r="N119" s="33" t="n">
        <v>39</v>
      </c>
      <c r="O119" s="35" t="s">
        <v>276</v>
      </c>
      <c r="P119" s="45" t="n">
        <v>29559</v>
      </c>
      <c r="Q119" s="38" t="n">
        <v>-0.179</v>
      </c>
      <c r="R119" s="35" t="s">
        <v>258</v>
      </c>
      <c r="S119" s="45" t="n">
        <v>390</v>
      </c>
      <c r="T119" s="35" t="s">
        <v>255</v>
      </c>
      <c r="U119" s="33" t="n">
        <v>1</v>
      </c>
      <c r="V119" s="35" t="s">
        <v>259</v>
      </c>
      <c r="W119" s="33" t="n">
        <v>19</v>
      </c>
      <c r="X119" s="35" t="s">
        <v>255</v>
      </c>
      <c r="Y119" s="35" t="s">
        <v>255</v>
      </c>
      <c r="Z119" s="35" t="s">
        <v>255</v>
      </c>
      <c r="AA119" s="35" t="s">
        <v>255</v>
      </c>
      <c r="AB119" s="35" t="s">
        <v>255</v>
      </c>
      <c r="AC119" s="35" t="s">
        <v>255</v>
      </c>
      <c r="AD119" s="35" t="s">
        <v>255</v>
      </c>
      <c r="AE119" s="35" t="s">
        <v>259</v>
      </c>
      <c r="AF119" s="35" t="s">
        <v>259</v>
      </c>
      <c r="AG119" s="35" t="s">
        <v>255</v>
      </c>
      <c r="AH119" s="35" t="s">
        <v>255</v>
      </c>
      <c r="AI119" s="35" t="s">
        <v>255</v>
      </c>
      <c r="AJ119" s="35" t="s">
        <v>255</v>
      </c>
      <c r="AK119" s="8" t="s">
        <v>261</v>
      </c>
      <c r="AL119" s="8" t="s">
        <v>261</v>
      </c>
      <c r="AM119" s="8" t="s">
        <v>278</v>
      </c>
      <c r="AN119" s="8" t="s">
        <v>347</v>
      </c>
      <c r="AO119" s="8" t="s">
        <v>264</v>
      </c>
      <c r="AP119" s="35" t="s">
        <v>265</v>
      </c>
      <c r="AQ119" s="39" t="n">
        <v>3.1</v>
      </c>
      <c r="AR119" s="39" t="n">
        <v>4.6</v>
      </c>
      <c r="AS119" s="33" t="n">
        <v>24</v>
      </c>
      <c r="AT119" s="45" t="n">
        <v>153</v>
      </c>
      <c r="AU119" s="45" t="n">
        <v>622.49</v>
      </c>
      <c r="AV119" s="45" t="n">
        <v>283</v>
      </c>
      <c r="AW119" s="39" t="n">
        <v>94.4</v>
      </c>
      <c r="AX119" s="39" t="n">
        <v>34.1</v>
      </c>
      <c r="AY119" s="39" t="n">
        <v>13.7</v>
      </c>
      <c r="AZ119" s="39" t="n">
        <v>82</v>
      </c>
      <c r="BA119" s="39" t="n">
        <v>0</v>
      </c>
      <c r="BB119" s="39" t="n">
        <v>95.9</v>
      </c>
      <c r="BC119" s="8" t="s">
        <v>582</v>
      </c>
      <c r="BD119" s="47" t="s">
        <v>346</v>
      </c>
      <c r="BE119" s="41" t="s">
        <v>583</v>
      </c>
    </row>
    <row r="120" customFormat="false" ht="15" hidden="false" customHeight="false" outlineLevel="0" collapsed="false">
      <c r="A120" s="33" t="n">
        <f aca="false">RANK(B120,$B$5:$B$266)</f>
        <v>115</v>
      </c>
      <c r="B120" s="34" t="n">
        <f aca="false">ROUND((AW120*'Scoring Weights'!$B$5+AX120*'Scoring Weights'!$B$6+AY120*'Scoring Weights'!$B$7+BA120*'Scoring Weights'!$B$8+AZ120*'Scoring Weights'!$B$9+BB120*'Scoring Weights'!$B$10)/MAX('Scoring Weights'!$B$11,1),1)</f>
        <v>50.8</v>
      </c>
      <c r="C120" s="35" t="str">
        <f aca="false">IF(AND(H120&lt;='Search Criteria'!$B$5,D120&gt;='Search Criteria'!$B$6,AQ120&lt;='Search Criteria'!$B$7,I120&lt;=INDEX('Search Criteria'!$B$18:$B$20,MATCH(E120,'Search Criteria'!$A$18:$A$20,0)),OR(NOT('Search Criteria'!$B$8),L120&lt;&gt;"FWD"),OR(NOT('Search Criteria'!$B$9),T120="Yes"),OR(NOT('Search Criteria'!$B$10),W120&gt;0),OR(NOT('Search Criteria'!$B$11),X120="Yes"),OR(NOT('Search Criteria'!$B$12),O120="GREAT",O120="GOOD"),OR(NOT('Search Criteria'!$B$13),K120="Yes")),"YES","no")</f>
        <v>no</v>
      </c>
      <c r="D120" s="33" t="n">
        <v>2024</v>
      </c>
      <c r="E120" s="8" t="s">
        <v>92</v>
      </c>
      <c r="F120" s="8" t="s">
        <v>236</v>
      </c>
      <c r="G120" s="8" t="s">
        <v>296</v>
      </c>
      <c r="H120" s="45" t="n">
        <v>35995</v>
      </c>
      <c r="I120" s="46" t="n">
        <v>27133</v>
      </c>
      <c r="J120" s="37" t="n">
        <f aca="false">IFERROR(ROUND(I120/MAX(2026-D120,0.5),0),"")</f>
        <v>13567</v>
      </c>
      <c r="K120" s="35" t="s">
        <v>259</v>
      </c>
      <c r="L120" s="35" t="s">
        <v>256</v>
      </c>
      <c r="M120" s="35" t="s">
        <v>302</v>
      </c>
      <c r="N120" s="33" t="n">
        <v>39</v>
      </c>
      <c r="O120" s="35" t="s">
        <v>276</v>
      </c>
      <c r="P120" s="45" t="n">
        <v>33811</v>
      </c>
      <c r="Q120" s="38" t="n">
        <v>-0.065</v>
      </c>
      <c r="R120" s="35" t="s">
        <v>258</v>
      </c>
      <c r="S120" s="45" t="n">
        <v>440</v>
      </c>
      <c r="T120" s="35" t="s">
        <v>255</v>
      </c>
      <c r="U120" s="33" t="n">
        <v>1</v>
      </c>
      <c r="V120" s="35" t="s">
        <v>259</v>
      </c>
      <c r="W120" s="33" t="n">
        <v>8</v>
      </c>
      <c r="X120" s="35" t="s">
        <v>255</v>
      </c>
      <c r="Y120" s="35" t="s">
        <v>255</v>
      </c>
      <c r="Z120" s="35" t="s">
        <v>259</v>
      </c>
      <c r="AA120" s="35" t="s">
        <v>255</v>
      </c>
      <c r="AB120" s="35" t="s">
        <v>255</v>
      </c>
      <c r="AC120" s="35" t="s">
        <v>255</v>
      </c>
      <c r="AD120" s="35" t="s">
        <v>259</v>
      </c>
      <c r="AE120" s="35" t="s">
        <v>259</v>
      </c>
      <c r="AF120" s="35" t="s">
        <v>259</v>
      </c>
      <c r="AG120" s="35" t="s">
        <v>259</v>
      </c>
      <c r="AH120" s="35" t="s">
        <v>259</v>
      </c>
      <c r="AI120" s="35" t="s">
        <v>255</v>
      </c>
      <c r="AJ120" s="35" t="s">
        <v>259</v>
      </c>
      <c r="AK120" s="8" t="s">
        <v>260</v>
      </c>
      <c r="AL120" s="8" t="s">
        <v>261</v>
      </c>
      <c r="AM120" s="8" t="s">
        <v>278</v>
      </c>
      <c r="AN120" s="8" t="s">
        <v>335</v>
      </c>
      <c r="AO120" s="8" t="s">
        <v>321</v>
      </c>
      <c r="AP120" s="35" t="s">
        <v>272</v>
      </c>
      <c r="AQ120" s="39" t="n">
        <v>56.8</v>
      </c>
      <c r="AR120" s="39" t="n">
        <v>4.6</v>
      </c>
      <c r="AS120" s="33" t="n">
        <v>3</v>
      </c>
      <c r="AT120" s="45"/>
      <c r="AU120" s="45" t="n">
        <v>643</v>
      </c>
      <c r="AV120" s="45" t="n">
        <v>345</v>
      </c>
      <c r="AW120" s="39" t="n">
        <v>85.3</v>
      </c>
      <c r="AX120" s="39" t="n">
        <v>46.9</v>
      </c>
      <c r="AY120" s="39" t="n">
        <v>62.1</v>
      </c>
      <c r="AZ120" s="39" t="n">
        <v>42</v>
      </c>
      <c r="BA120" s="39" t="n">
        <v>0</v>
      </c>
      <c r="BB120" s="39" t="n">
        <v>24.2</v>
      </c>
      <c r="BC120" s="8" t="s">
        <v>584</v>
      </c>
      <c r="BD120" s="47" t="s">
        <v>346</v>
      </c>
      <c r="BE120" s="41" t="s">
        <v>585</v>
      </c>
    </row>
    <row r="121" customFormat="false" ht="15" hidden="false" customHeight="false" outlineLevel="0" collapsed="false">
      <c r="A121" s="33" t="n">
        <f aca="false">RANK(B121,$B$5:$B$266)</f>
        <v>117</v>
      </c>
      <c r="B121" s="34" t="n">
        <f aca="false">ROUND((AW121*'Scoring Weights'!$B$5+AX121*'Scoring Weights'!$B$6+AY121*'Scoring Weights'!$B$7+BA121*'Scoring Weights'!$B$8+AZ121*'Scoring Weights'!$B$9+BB121*'Scoring Weights'!$B$10)/MAX('Scoring Weights'!$B$11,1),1)</f>
        <v>50.4</v>
      </c>
      <c r="C121" s="35" t="str">
        <f aca="false">IF(AND(H121&lt;='Search Criteria'!$B$5,D121&gt;='Search Criteria'!$B$6,AQ121&lt;='Search Criteria'!$B$7,I121&lt;=INDEX('Search Criteria'!$B$18:$B$20,MATCH(E121,'Search Criteria'!$A$18:$A$20,0)),OR(NOT('Search Criteria'!$B$8),L121&lt;&gt;"FWD"),OR(NOT('Search Criteria'!$B$9),T121="Yes"),OR(NOT('Search Criteria'!$B$10),W121&gt;0),OR(NOT('Search Criteria'!$B$11),X121="Yes"),OR(NOT('Search Criteria'!$B$12),O121="GREAT",O121="GOOD"),OR(NOT('Search Criteria'!$B$13),K121="Yes")),"YES","no")</f>
        <v>no</v>
      </c>
      <c r="D121" s="33" t="n">
        <v>2023</v>
      </c>
      <c r="E121" s="8" t="s">
        <v>94</v>
      </c>
      <c r="F121" s="8" t="s">
        <v>232</v>
      </c>
      <c r="G121" s="8" t="s">
        <v>268</v>
      </c>
      <c r="H121" s="45" t="n">
        <v>31033</v>
      </c>
      <c r="I121" s="46" t="n">
        <v>32948</v>
      </c>
      <c r="J121" s="37" t="n">
        <f aca="false">IFERROR(ROUND(I121/MAX(2026-D121,0.5),0),"")</f>
        <v>10983</v>
      </c>
      <c r="K121" s="35" t="s">
        <v>259</v>
      </c>
      <c r="L121" s="35" t="s">
        <v>256</v>
      </c>
      <c r="M121" s="35" t="s">
        <v>257</v>
      </c>
      <c r="N121" s="33" t="n">
        <v>29</v>
      </c>
      <c r="O121" s="35" t="s">
        <v>297</v>
      </c>
      <c r="P121" s="45" t="n">
        <v>31492</v>
      </c>
      <c r="Q121" s="38" t="n">
        <v>0.015</v>
      </c>
      <c r="R121" s="35" t="s">
        <v>258</v>
      </c>
      <c r="S121" s="45" t="n">
        <v>610</v>
      </c>
      <c r="T121" s="35" t="s">
        <v>255</v>
      </c>
      <c r="U121" s="33" t="n">
        <v>1</v>
      </c>
      <c r="V121" s="35" t="s">
        <v>255</v>
      </c>
      <c r="W121" s="33" t="n">
        <v>1</v>
      </c>
      <c r="X121" s="35" t="s">
        <v>255</v>
      </c>
      <c r="Y121" s="35" t="s">
        <v>255</v>
      </c>
      <c r="Z121" s="35" t="s">
        <v>259</v>
      </c>
      <c r="AA121" s="35" t="s">
        <v>255</v>
      </c>
      <c r="AB121" s="35" t="s">
        <v>255</v>
      </c>
      <c r="AC121" s="35" t="s">
        <v>259</v>
      </c>
      <c r="AD121" s="35" t="s">
        <v>259</v>
      </c>
      <c r="AE121" s="35" t="s">
        <v>259</v>
      </c>
      <c r="AF121" s="35" t="s">
        <v>259</v>
      </c>
      <c r="AG121" s="35" t="s">
        <v>259</v>
      </c>
      <c r="AH121" s="35" t="s">
        <v>259</v>
      </c>
      <c r="AI121" s="35" t="s">
        <v>255</v>
      </c>
      <c r="AJ121" s="35" t="s">
        <v>259</v>
      </c>
      <c r="AK121" s="8" t="s">
        <v>309</v>
      </c>
      <c r="AL121" s="8" t="s">
        <v>261</v>
      </c>
      <c r="AM121" s="8" t="s">
        <v>262</v>
      </c>
      <c r="AN121" s="8" t="s">
        <v>315</v>
      </c>
      <c r="AO121" s="8" t="s">
        <v>294</v>
      </c>
      <c r="AP121" s="35" t="s">
        <v>272</v>
      </c>
      <c r="AQ121" s="39" t="n">
        <v>41.6</v>
      </c>
      <c r="AR121" s="39" t="n">
        <v>4.6</v>
      </c>
      <c r="AS121" s="33" t="n">
        <v>23</v>
      </c>
      <c r="AT121" s="45"/>
      <c r="AU121" s="45" t="n">
        <v>554.36</v>
      </c>
      <c r="AV121" s="45" t="n">
        <v>314</v>
      </c>
      <c r="AW121" s="39" t="n">
        <v>85</v>
      </c>
      <c r="AX121" s="39" t="n">
        <v>54.9</v>
      </c>
      <c r="AY121" s="39" t="n">
        <v>54.6</v>
      </c>
      <c r="AZ121" s="39" t="n">
        <v>30</v>
      </c>
      <c r="BA121" s="39" t="n">
        <v>0</v>
      </c>
      <c r="BB121" s="39" t="n">
        <v>44.5</v>
      </c>
      <c r="BC121" s="8" t="s">
        <v>586</v>
      </c>
      <c r="BD121" s="47" t="s">
        <v>330</v>
      </c>
      <c r="BE121" s="41" t="s">
        <v>587</v>
      </c>
    </row>
    <row r="122" customFormat="false" ht="15" hidden="false" customHeight="false" outlineLevel="0" collapsed="false">
      <c r="A122" s="33" t="n">
        <f aca="false">RANK(B122,$B$5:$B$266)</f>
        <v>117</v>
      </c>
      <c r="B122" s="34" t="n">
        <f aca="false">ROUND((AW122*'Scoring Weights'!$B$5+AX122*'Scoring Weights'!$B$6+AY122*'Scoring Weights'!$B$7+BA122*'Scoring Weights'!$B$8+AZ122*'Scoring Weights'!$B$9+BB122*'Scoring Weights'!$B$10)/MAX('Scoring Weights'!$B$11,1),1)</f>
        <v>50.4</v>
      </c>
      <c r="C122" s="35" t="str">
        <f aca="false">IF(AND(H122&lt;='Search Criteria'!$B$5,D122&gt;='Search Criteria'!$B$6,AQ122&lt;='Search Criteria'!$B$7,I122&lt;=INDEX('Search Criteria'!$B$18:$B$20,MATCH(E122,'Search Criteria'!$A$18:$A$20,0)),OR(NOT('Search Criteria'!$B$8),L122&lt;&gt;"FWD"),OR(NOT('Search Criteria'!$B$9),T122="Yes"),OR(NOT('Search Criteria'!$B$10),W122&gt;0),OR(NOT('Search Criteria'!$B$11),X122="Yes"),OR(NOT('Search Criteria'!$B$12),O122="GREAT",O122="GOOD"),OR(NOT('Search Criteria'!$B$13),K122="Yes")),"YES","no")</f>
        <v>no</v>
      </c>
      <c r="D122" s="33" t="n">
        <v>2022</v>
      </c>
      <c r="E122" s="8" t="s">
        <v>92</v>
      </c>
      <c r="F122" s="8" t="s">
        <v>236</v>
      </c>
      <c r="G122" s="8" t="s">
        <v>338</v>
      </c>
      <c r="H122" s="45" t="n">
        <v>23313</v>
      </c>
      <c r="I122" s="46" t="n">
        <v>73430</v>
      </c>
      <c r="J122" s="37" t="n">
        <f aca="false">IFERROR(ROUND(I122/MAX(2026-D122,0.5),0),"")</f>
        <v>18358</v>
      </c>
      <c r="K122" s="35" t="s">
        <v>259</v>
      </c>
      <c r="L122" s="35" t="s">
        <v>285</v>
      </c>
      <c r="M122" s="35" t="s">
        <v>257</v>
      </c>
      <c r="N122" s="33" t="n">
        <v>30</v>
      </c>
      <c r="O122" s="35" t="s">
        <v>286</v>
      </c>
      <c r="P122" s="45" t="n">
        <v>27726</v>
      </c>
      <c r="Q122" s="38" t="n">
        <v>0.159</v>
      </c>
      <c r="R122" s="35" t="s">
        <v>258</v>
      </c>
      <c r="S122" s="45" t="n">
        <v>150</v>
      </c>
      <c r="T122" s="35" t="s">
        <v>255</v>
      </c>
      <c r="U122" s="33" t="n">
        <v>1</v>
      </c>
      <c r="V122" s="35" t="s">
        <v>259</v>
      </c>
      <c r="W122" s="33" t="n">
        <v>28</v>
      </c>
      <c r="X122" s="35" t="s">
        <v>259</v>
      </c>
      <c r="Y122" s="35" t="s">
        <v>255</v>
      </c>
      <c r="Z122" s="35" t="s">
        <v>259</v>
      </c>
      <c r="AA122" s="35" t="s">
        <v>259</v>
      </c>
      <c r="AB122" s="35" t="s">
        <v>255</v>
      </c>
      <c r="AC122" s="35" t="s">
        <v>259</v>
      </c>
      <c r="AD122" s="35" t="s">
        <v>259</v>
      </c>
      <c r="AE122" s="35" t="s">
        <v>259</v>
      </c>
      <c r="AF122" s="35" t="s">
        <v>259</v>
      </c>
      <c r="AG122" s="35" t="s">
        <v>259</v>
      </c>
      <c r="AH122" s="35" t="s">
        <v>259</v>
      </c>
      <c r="AI122" s="35" t="s">
        <v>259</v>
      </c>
      <c r="AJ122" s="35" t="s">
        <v>259</v>
      </c>
      <c r="AK122" s="8" t="s">
        <v>292</v>
      </c>
      <c r="AL122" s="8" t="s">
        <v>261</v>
      </c>
      <c r="AM122" s="8" t="s">
        <v>278</v>
      </c>
      <c r="AN122" s="8" t="s">
        <v>533</v>
      </c>
      <c r="AO122" s="8" t="s">
        <v>506</v>
      </c>
      <c r="AP122" s="35" t="s">
        <v>272</v>
      </c>
      <c r="AQ122" s="39" t="n">
        <v>52.6</v>
      </c>
      <c r="AR122" s="39" t="n">
        <v>4.5</v>
      </c>
      <c r="AS122" s="33" t="n">
        <v>13</v>
      </c>
      <c r="AT122" s="45"/>
      <c r="AU122" s="45" t="n">
        <v>416.45</v>
      </c>
      <c r="AV122" s="45" t="n">
        <v>314</v>
      </c>
      <c r="AW122" s="39" t="n">
        <v>94.4</v>
      </c>
      <c r="AX122" s="39" t="n">
        <v>87.9</v>
      </c>
      <c r="AY122" s="39" t="n">
        <v>18.6</v>
      </c>
      <c r="AZ122" s="39" t="n">
        <v>12</v>
      </c>
      <c r="BA122" s="39" t="n">
        <v>0</v>
      </c>
      <c r="BB122" s="39" t="n">
        <v>29.9</v>
      </c>
      <c r="BC122" s="8" t="s">
        <v>588</v>
      </c>
      <c r="BD122" s="47" t="s">
        <v>365</v>
      </c>
      <c r="BE122" s="41" t="s">
        <v>589</v>
      </c>
    </row>
    <row r="123" customFormat="false" ht="15" hidden="false" customHeight="false" outlineLevel="0" collapsed="false">
      <c r="A123" s="33" t="n">
        <f aca="false">RANK(B123,$B$5:$B$266)</f>
        <v>119</v>
      </c>
      <c r="B123" s="34" t="n">
        <f aca="false">ROUND((AW123*'Scoring Weights'!$B$5+AX123*'Scoring Weights'!$B$6+AY123*'Scoring Weights'!$B$7+BA123*'Scoring Weights'!$B$8+AZ123*'Scoring Weights'!$B$9+BB123*'Scoring Weights'!$B$10)/MAX('Scoring Weights'!$B$11,1),1)</f>
        <v>50.3</v>
      </c>
      <c r="C123" s="35" t="str">
        <f aca="false">IF(AND(H123&lt;='Search Criteria'!$B$5,D123&gt;='Search Criteria'!$B$6,AQ123&lt;='Search Criteria'!$B$7,I123&lt;=INDEX('Search Criteria'!$B$18:$B$20,MATCH(E123,'Search Criteria'!$A$18:$A$20,0)),OR(NOT('Search Criteria'!$B$8),L123&lt;&gt;"FWD"),OR(NOT('Search Criteria'!$B$9),T123="Yes"),OR(NOT('Search Criteria'!$B$10),W123&gt;0),OR(NOT('Search Criteria'!$B$11),X123="Yes"),OR(NOT('Search Criteria'!$B$12),O123="GREAT",O123="GOOD"),OR(NOT('Search Criteria'!$B$13),K123="Yes")),"YES","no")</f>
        <v>no</v>
      </c>
      <c r="D123" s="33" t="n">
        <v>2023</v>
      </c>
      <c r="E123" s="8" t="s">
        <v>94</v>
      </c>
      <c r="F123" s="8" t="s">
        <v>232</v>
      </c>
      <c r="G123" s="8" t="s">
        <v>328</v>
      </c>
      <c r="H123" s="45" t="n">
        <v>31761</v>
      </c>
      <c r="I123" s="46" t="n">
        <v>61539</v>
      </c>
      <c r="J123" s="37" t="n">
        <f aca="false">IFERROR(ROUND(I123/MAX(2026-D123,0.5),0),"")</f>
        <v>20513</v>
      </c>
      <c r="K123" s="35" t="s">
        <v>259</v>
      </c>
      <c r="L123" s="35" t="s">
        <v>256</v>
      </c>
      <c r="M123" s="35" t="s">
        <v>302</v>
      </c>
      <c r="N123" s="33" t="n">
        <v>37</v>
      </c>
      <c r="O123" s="35" t="s">
        <v>286</v>
      </c>
      <c r="P123" s="45" t="n">
        <v>29517</v>
      </c>
      <c r="Q123" s="38" t="n">
        <v>-0.076</v>
      </c>
      <c r="R123" s="35" t="s">
        <v>277</v>
      </c>
      <c r="S123" s="45"/>
      <c r="T123" s="35" t="s">
        <v>259</v>
      </c>
      <c r="U123" s="33" t="n">
        <v>1</v>
      </c>
      <c r="V123" s="35" t="s">
        <v>255</v>
      </c>
      <c r="W123" s="33" t="n">
        <v>12</v>
      </c>
      <c r="X123" s="35" t="s">
        <v>255</v>
      </c>
      <c r="Y123" s="35" t="s">
        <v>255</v>
      </c>
      <c r="Z123" s="35" t="s">
        <v>255</v>
      </c>
      <c r="AA123" s="35" t="s">
        <v>255</v>
      </c>
      <c r="AB123" s="35" t="s">
        <v>255</v>
      </c>
      <c r="AC123" s="35" t="s">
        <v>255</v>
      </c>
      <c r="AD123" s="35" t="s">
        <v>255</v>
      </c>
      <c r="AE123" s="35" t="s">
        <v>259</v>
      </c>
      <c r="AF123" s="35" t="s">
        <v>255</v>
      </c>
      <c r="AG123" s="35" t="s">
        <v>255</v>
      </c>
      <c r="AH123" s="35" t="s">
        <v>255</v>
      </c>
      <c r="AI123" s="35" t="s">
        <v>255</v>
      </c>
      <c r="AJ123" s="35" t="s">
        <v>255</v>
      </c>
      <c r="AK123" s="8" t="s">
        <v>261</v>
      </c>
      <c r="AL123" s="8" t="s">
        <v>261</v>
      </c>
      <c r="AM123" s="8" t="s">
        <v>303</v>
      </c>
      <c r="AN123" s="8" t="s">
        <v>378</v>
      </c>
      <c r="AO123" s="8" t="s">
        <v>379</v>
      </c>
      <c r="AP123" s="35" t="s">
        <v>265</v>
      </c>
      <c r="AQ123" s="39" t="n">
        <v>46.9</v>
      </c>
      <c r="AR123" s="39" t="n">
        <v>4.7</v>
      </c>
      <c r="AS123" s="33" t="n">
        <v>15</v>
      </c>
      <c r="AT123" s="45"/>
      <c r="AU123" s="45" t="n">
        <v>567.36</v>
      </c>
      <c r="AV123" s="45" t="n">
        <v>261</v>
      </c>
      <c r="AW123" s="39" t="n">
        <v>86.4</v>
      </c>
      <c r="AX123" s="39" t="n">
        <v>54</v>
      </c>
      <c r="AY123" s="39" t="n">
        <v>8.5</v>
      </c>
      <c r="AZ123" s="39" t="n">
        <v>90</v>
      </c>
      <c r="BA123" s="39" t="n">
        <v>0</v>
      </c>
      <c r="BB123" s="39" t="n">
        <v>37.5</v>
      </c>
      <c r="BC123" s="8" t="s">
        <v>590</v>
      </c>
      <c r="BD123" s="47" t="s">
        <v>330</v>
      </c>
      <c r="BE123" s="41" t="s">
        <v>591</v>
      </c>
    </row>
    <row r="124" customFormat="false" ht="15" hidden="false" customHeight="false" outlineLevel="0" collapsed="false">
      <c r="A124" s="33" t="n">
        <f aca="false">RANK(B124,$B$5:$B$266)</f>
        <v>119</v>
      </c>
      <c r="B124" s="34" t="n">
        <f aca="false">ROUND((AW124*'Scoring Weights'!$B$5+AX124*'Scoring Weights'!$B$6+AY124*'Scoring Weights'!$B$7+BA124*'Scoring Weights'!$B$8+AZ124*'Scoring Weights'!$B$9+BB124*'Scoring Weights'!$B$10)/MAX('Scoring Weights'!$B$11,1),1)</f>
        <v>50.3</v>
      </c>
      <c r="C124" s="35" t="str">
        <f aca="false">IF(AND(H124&lt;='Search Criteria'!$B$5,D124&gt;='Search Criteria'!$B$6,AQ124&lt;='Search Criteria'!$B$7,I124&lt;=INDEX('Search Criteria'!$B$18:$B$20,MATCH(E124,'Search Criteria'!$A$18:$A$20,0)),OR(NOT('Search Criteria'!$B$8),L124&lt;&gt;"FWD"),OR(NOT('Search Criteria'!$B$9),T124="Yes"),OR(NOT('Search Criteria'!$B$10),W124&gt;0),OR(NOT('Search Criteria'!$B$11),X124="Yes"),OR(NOT('Search Criteria'!$B$12),O124="GREAT",O124="GOOD"),OR(NOT('Search Criteria'!$B$13),K124="Yes")),"YES","no")</f>
        <v>no</v>
      </c>
      <c r="D124" s="33" t="n">
        <v>2024</v>
      </c>
      <c r="E124" s="8" t="s">
        <v>94</v>
      </c>
      <c r="F124" s="8" t="s">
        <v>232</v>
      </c>
      <c r="G124" s="8" t="s">
        <v>319</v>
      </c>
      <c r="H124" s="45" t="n">
        <v>30164</v>
      </c>
      <c r="I124" s="46" t="n">
        <v>28592</v>
      </c>
      <c r="J124" s="37" t="n">
        <f aca="false">IFERROR(ROUND(I124/MAX(2026-D124,0.5),0),"")</f>
        <v>14296</v>
      </c>
      <c r="K124" s="35" t="s">
        <v>259</v>
      </c>
      <c r="L124" s="35" t="s">
        <v>256</v>
      </c>
      <c r="M124" s="35" t="s">
        <v>257</v>
      </c>
      <c r="N124" s="33" t="n">
        <v>29</v>
      </c>
      <c r="O124" s="35" t="s">
        <v>297</v>
      </c>
      <c r="P124" s="45" t="n">
        <v>32931</v>
      </c>
      <c r="Q124" s="38" t="n">
        <v>0.084</v>
      </c>
      <c r="R124" s="35" t="s">
        <v>258</v>
      </c>
      <c r="S124" s="45" t="n">
        <v>560</v>
      </c>
      <c r="T124" s="35" t="s">
        <v>255</v>
      </c>
      <c r="U124" s="33" t="n">
        <v>1</v>
      </c>
      <c r="V124" s="35" t="s">
        <v>255</v>
      </c>
      <c r="W124" s="33" t="n">
        <v>9</v>
      </c>
      <c r="X124" s="35" t="s">
        <v>259</v>
      </c>
      <c r="Y124" s="35" t="s">
        <v>255</v>
      </c>
      <c r="Z124" s="35" t="s">
        <v>259</v>
      </c>
      <c r="AA124" s="35" t="s">
        <v>259</v>
      </c>
      <c r="AB124" s="35" t="s">
        <v>259</v>
      </c>
      <c r="AC124" s="35" t="s">
        <v>259</v>
      </c>
      <c r="AD124" s="35" t="s">
        <v>259</v>
      </c>
      <c r="AE124" s="35" t="s">
        <v>259</v>
      </c>
      <c r="AF124" s="35" t="s">
        <v>259</v>
      </c>
      <c r="AG124" s="35" t="s">
        <v>259</v>
      </c>
      <c r="AH124" s="35" t="s">
        <v>259</v>
      </c>
      <c r="AI124" s="35" t="s">
        <v>259</v>
      </c>
      <c r="AJ124" s="35" t="s">
        <v>259</v>
      </c>
      <c r="AK124" s="8" t="s">
        <v>260</v>
      </c>
      <c r="AL124" s="8" t="s">
        <v>261</v>
      </c>
      <c r="AM124" s="8" t="s">
        <v>262</v>
      </c>
      <c r="AN124" s="8" t="s">
        <v>315</v>
      </c>
      <c r="AO124" s="8" t="s">
        <v>294</v>
      </c>
      <c r="AP124" s="35" t="s">
        <v>272</v>
      </c>
      <c r="AQ124" s="39" t="n">
        <v>41.6</v>
      </c>
      <c r="AR124" s="39" t="n">
        <v>4.6</v>
      </c>
      <c r="AS124" s="33" t="n">
        <v>20</v>
      </c>
      <c r="AT124" s="45"/>
      <c r="AU124" s="45" t="n">
        <v>538.84</v>
      </c>
      <c r="AV124" s="45" t="n">
        <v>314</v>
      </c>
      <c r="AW124" s="39" t="n">
        <v>94.6</v>
      </c>
      <c r="AX124" s="39" t="n">
        <v>65.4</v>
      </c>
      <c r="AY124" s="39" t="n">
        <v>50.7</v>
      </c>
      <c r="AZ124" s="39" t="n">
        <v>0</v>
      </c>
      <c r="BA124" s="39" t="n">
        <v>0</v>
      </c>
      <c r="BB124" s="39" t="n">
        <v>44.5</v>
      </c>
      <c r="BC124" s="8" t="s">
        <v>592</v>
      </c>
      <c r="BD124" s="47" t="s">
        <v>307</v>
      </c>
      <c r="BE124" s="41" t="s">
        <v>593</v>
      </c>
    </row>
    <row r="125" customFormat="false" ht="15" hidden="false" customHeight="false" outlineLevel="0" collapsed="false">
      <c r="A125" s="33" t="n">
        <f aca="false">RANK(B125,$B$5:$B$266)</f>
        <v>121</v>
      </c>
      <c r="B125" s="34" t="n">
        <f aca="false">ROUND((AW125*'Scoring Weights'!$B$5+AX125*'Scoring Weights'!$B$6+AY125*'Scoring Weights'!$B$7+BA125*'Scoring Weights'!$B$8+AZ125*'Scoring Weights'!$B$9+BB125*'Scoring Weights'!$B$10)/MAX('Scoring Weights'!$B$11,1),1)</f>
        <v>50.2</v>
      </c>
      <c r="C125" s="35" t="str">
        <f aca="false">IF(AND(H125&lt;='Search Criteria'!$B$5,D125&gt;='Search Criteria'!$B$6,AQ125&lt;='Search Criteria'!$B$7,I125&lt;=INDEX('Search Criteria'!$B$18:$B$20,MATCH(E125,'Search Criteria'!$A$18:$A$20,0)),OR(NOT('Search Criteria'!$B$8),L125&lt;&gt;"FWD"),OR(NOT('Search Criteria'!$B$9),T125="Yes"),OR(NOT('Search Criteria'!$B$10),W125&gt;0),OR(NOT('Search Criteria'!$B$11),X125="Yes"),OR(NOT('Search Criteria'!$B$12),O125="GREAT",O125="GOOD"),OR(NOT('Search Criteria'!$B$13),K125="Yes")),"YES","no")</f>
        <v>no</v>
      </c>
      <c r="D125" s="33" t="n">
        <v>2024</v>
      </c>
      <c r="E125" s="8" t="s">
        <v>92</v>
      </c>
      <c r="F125" s="8" t="s">
        <v>236</v>
      </c>
      <c r="G125" s="8" t="s">
        <v>296</v>
      </c>
      <c r="H125" s="45" t="n">
        <v>31012</v>
      </c>
      <c r="I125" s="46" t="n">
        <v>47580</v>
      </c>
      <c r="J125" s="37" t="n">
        <f aca="false">IFERROR(ROUND(I125/MAX(2026-D125,0.5),0),"")</f>
        <v>23790</v>
      </c>
      <c r="K125" s="35" t="s">
        <v>259</v>
      </c>
      <c r="L125" s="35" t="s">
        <v>256</v>
      </c>
      <c r="M125" s="35" t="s">
        <v>257</v>
      </c>
      <c r="N125" s="33" t="n">
        <v>28</v>
      </c>
      <c r="O125" s="35" t="s">
        <v>276</v>
      </c>
      <c r="P125" s="45" t="n">
        <v>32179</v>
      </c>
      <c r="Q125" s="38" t="n">
        <v>0.036</v>
      </c>
      <c r="R125" s="35" t="s">
        <v>258</v>
      </c>
      <c r="S125" s="45" t="n">
        <v>290</v>
      </c>
      <c r="T125" s="35" t="s">
        <v>255</v>
      </c>
      <c r="U125" s="33" t="n">
        <v>1</v>
      </c>
      <c r="V125" s="35" t="s">
        <v>259</v>
      </c>
      <c r="W125" s="33" t="n">
        <v>3</v>
      </c>
      <c r="X125" s="35" t="s">
        <v>255</v>
      </c>
      <c r="Y125" s="35" t="s">
        <v>255</v>
      </c>
      <c r="Z125" s="35" t="s">
        <v>255</v>
      </c>
      <c r="AA125" s="35" t="s">
        <v>259</v>
      </c>
      <c r="AB125" s="35" t="s">
        <v>255</v>
      </c>
      <c r="AC125" s="35" t="s">
        <v>259</v>
      </c>
      <c r="AD125" s="35" t="s">
        <v>259</v>
      </c>
      <c r="AE125" s="35" t="s">
        <v>259</v>
      </c>
      <c r="AF125" s="35" t="s">
        <v>259</v>
      </c>
      <c r="AG125" s="35" t="s">
        <v>259</v>
      </c>
      <c r="AH125" s="35" t="s">
        <v>259</v>
      </c>
      <c r="AI125" s="35" t="s">
        <v>255</v>
      </c>
      <c r="AJ125" s="35" t="s">
        <v>259</v>
      </c>
      <c r="AK125" s="8" t="s">
        <v>260</v>
      </c>
      <c r="AL125" s="8" t="s">
        <v>261</v>
      </c>
      <c r="AM125" s="8" t="s">
        <v>278</v>
      </c>
      <c r="AN125" s="8" t="s">
        <v>594</v>
      </c>
      <c r="AO125" s="8" t="s">
        <v>448</v>
      </c>
      <c r="AP125" s="35" t="s">
        <v>265</v>
      </c>
      <c r="AQ125" s="39" t="n">
        <v>16</v>
      </c>
      <c r="AR125" s="39" t="n">
        <v>4.5</v>
      </c>
      <c r="AS125" s="33" t="n">
        <v>53</v>
      </c>
      <c r="AT125" s="45" t="n">
        <v>2305</v>
      </c>
      <c r="AU125" s="45" t="n">
        <v>553.99</v>
      </c>
      <c r="AV125" s="45"/>
      <c r="AW125" s="39" t="n">
        <v>86</v>
      </c>
      <c r="AX125" s="39" t="n">
        <v>62</v>
      </c>
      <c r="AY125" s="39" t="n">
        <v>36.7</v>
      </c>
      <c r="AZ125" s="39" t="n">
        <v>26</v>
      </c>
      <c r="BA125" s="39" t="n">
        <v>0</v>
      </c>
      <c r="BB125" s="39" t="n">
        <v>78.7</v>
      </c>
      <c r="BC125" s="8" t="s">
        <v>595</v>
      </c>
      <c r="BD125" s="47" t="s">
        <v>346</v>
      </c>
      <c r="BE125" s="41" t="s">
        <v>596</v>
      </c>
    </row>
    <row r="126" customFormat="false" ht="15" hidden="false" customHeight="false" outlineLevel="0" collapsed="false">
      <c r="A126" s="33" t="n">
        <f aca="false">RANK(B126,$B$5:$B$266)</f>
        <v>121</v>
      </c>
      <c r="B126" s="34" t="n">
        <f aca="false">ROUND((AW126*'Scoring Weights'!$B$5+AX126*'Scoring Weights'!$B$6+AY126*'Scoring Weights'!$B$7+BA126*'Scoring Weights'!$B$8+AZ126*'Scoring Weights'!$B$9+BB126*'Scoring Weights'!$B$10)/MAX('Scoring Weights'!$B$11,1),1)</f>
        <v>50.2</v>
      </c>
      <c r="C126" s="35" t="str">
        <f aca="false">IF(AND(H126&lt;='Search Criteria'!$B$5,D126&gt;='Search Criteria'!$B$6,AQ126&lt;='Search Criteria'!$B$7,I126&lt;=INDEX('Search Criteria'!$B$18:$B$20,MATCH(E126,'Search Criteria'!$A$18:$A$20,0)),OR(NOT('Search Criteria'!$B$8),L126&lt;&gt;"FWD"),OR(NOT('Search Criteria'!$B$9),T126="Yes"),OR(NOT('Search Criteria'!$B$10),W126&gt;0),OR(NOT('Search Criteria'!$B$11),X126="Yes"),OR(NOT('Search Criteria'!$B$12),O126="GREAT",O126="GOOD"),OR(NOT('Search Criteria'!$B$13),K126="Yes")),"YES","no")</f>
        <v>no</v>
      </c>
      <c r="D126" s="33" t="n">
        <v>2025</v>
      </c>
      <c r="E126" s="8" t="s">
        <v>94</v>
      </c>
      <c r="F126" s="8" t="s">
        <v>232</v>
      </c>
      <c r="G126" s="8" t="s">
        <v>254</v>
      </c>
      <c r="H126" s="45" t="n">
        <v>34761</v>
      </c>
      <c r="I126" s="46" t="n">
        <v>35289</v>
      </c>
      <c r="J126" s="37" t="n">
        <f aca="false">IFERROR(ROUND(I126/MAX(2026-D126,0.5),0),"")</f>
        <v>35289</v>
      </c>
      <c r="K126" s="35" t="s">
        <v>259</v>
      </c>
      <c r="L126" s="35" t="s">
        <v>256</v>
      </c>
      <c r="M126" s="35" t="s">
        <v>257</v>
      </c>
      <c r="N126" s="33" t="n">
        <v>28</v>
      </c>
      <c r="O126" s="35" t="s">
        <v>276</v>
      </c>
      <c r="P126" s="45" t="n">
        <v>33607</v>
      </c>
      <c r="Q126" s="38" t="n">
        <v>-0.034</v>
      </c>
      <c r="R126" s="35" t="s">
        <v>258</v>
      </c>
      <c r="S126" s="45" t="n">
        <v>150</v>
      </c>
      <c r="T126" s="35" t="s">
        <v>259</v>
      </c>
      <c r="U126" s="33" t="n">
        <v>1</v>
      </c>
      <c r="V126" s="35" t="s">
        <v>255</v>
      </c>
      <c r="W126" s="33" t="n">
        <v>6</v>
      </c>
      <c r="X126" s="35" t="s">
        <v>255</v>
      </c>
      <c r="Y126" s="35" t="s">
        <v>255</v>
      </c>
      <c r="Z126" s="35" t="s">
        <v>259</v>
      </c>
      <c r="AA126" s="35" t="s">
        <v>255</v>
      </c>
      <c r="AB126" s="35" t="s">
        <v>255</v>
      </c>
      <c r="AC126" s="35" t="s">
        <v>255</v>
      </c>
      <c r="AD126" s="35" t="s">
        <v>255</v>
      </c>
      <c r="AE126" s="35" t="s">
        <v>259</v>
      </c>
      <c r="AF126" s="35" t="s">
        <v>259</v>
      </c>
      <c r="AG126" s="35" t="s">
        <v>255</v>
      </c>
      <c r="AH126" s="35" t="s">
        <v>255</v>
      </c>
      <c r="AI126" s="35" t="s">
        <v>255</v>
      </c>
      <c r="AJ126" s="35" t="s">
        <v>259</v>
      </c>
      <c r="AK126" s="8" t="s">
        <v>292</v>
      </c>
      <c r="AL126" s="8" t="s">
        <v>261</v>
      </c>
      <c r="AM126" s="8" t="s">
        <v>262</v>
      </c>
      <c r="AN126" s="8" t="s">
        <v>378</v>
      </c>
      <c r="AO126" s="8" t="s">
        <v>379</v>
      </c>
      <c r="AP126" s="35" t="s">
        <v>265</v>
      </c>
      <c r="AQ126" s="39" t="n">
        <v>46.9</v>
      </c>
      <c r="AR126" s="39" t="n">
        <v>4.7</v>
      </c>
      <c r="AS126" s="33" t="n">
        <v>16</v>
      </c>
      <c r="AT126" s="45"/>
      <c r="AU126" s="45" t="n">
        <v>620.96</v>
      </c>
      <c r="AV126" s="45" t="n">
        <v>261</v>
      </c>
      <c r="AW126" s="39" t="n">
        <v>81.6</v>
      </c>
      <c r="AX126" s="39" t="n">
        <v>51.4</v>
      </c>
      <c r="AY126" s="39" t="n">
        <v>34.7</v>
      </c>
      <c r="AZ126" s="39" t="n">
        <v>68</v>
      </c>
      <c r="BA126" s="39" t="n">
        <v>0</v>
      </c>
      <c r="BB126" s="39" t="n">
        <v>37.5</v>
      </c>
      <c r="BC126" s="8" t="s">
        <v>597</v>
      </c>
      <c r="BD126" s="47" t="s">
        <v>274</v>
      </c>
      <c r="BE126" s="41" t="s">
        <v>598</v>
      </c>
    </row>
    <row r="127" customFormat="false" ht="15" hidden="false" customHeight="false" outlineLevel="0" collapsed="false">
      <c r="A127" s="33" t="n">
        <f aca="false">RANK(B127,$B$5:$B$266)</f>
        <v>123</v>
      </c>
      <c r="B127" s="34" t="n">
        <f aca="false">ROUND((AW127*'Scoring Weights'!$B$5+AX127*'Scoring Weights'!$B$6+AY127*'Scoring Weights'!$B$7+BA127*'Scoring Weights'!$B$8+AZ127*'Scoring Weights'!$B$9+BB127*'Scoring Weights'!$B$10)/MAX('Scoring Weights'!$B$11,1),1)</f>
        <v>50.1</v>
      </c>
      <c r="C127" s="35" t="str">
        <f aca="false">IF(AND(H127&lt;='Search Criteria'!$B$5,D127&gt;='Search Criteria'!$B$6,AQ127&lt;='Search Criteria'!$B$7,I127&lt;=INDEX('Search Criteria'!$B$18:$B$20,MATCH(E127,'Search Criteria'!$A$18:$A$20,0)),OR(NOT('Search Criteria'!$B$8),L127&lt;&gt;"FWD"),OR(NOT('Search Criteria'!$B$9),T127="Yes"),OR(NOT('Search Criteria'!$B$10),W127&gt;0),OR(NOT('Search Criteria'!$B$11),X127="Yes"),OR(NOT('Search Criteria'!$B$12),O127="GREAT",O127="GOOD"),OR(NOT('Search Criteria'!$B$13),K127="Yes")),"YES","no")</f>
        <v>no</v>
      </c>
      <c r="D127" s="33" t="n">
        <v>2025</v>
      </c>
      <c r="E127" s="8" t="s">
        <v>95</v>
      </c>
      <c r="F127" s="8" t="s">
        <v>234</v>
      </c>
      <c r="G127" s="8" t="s">
        <v>275</v>
      </c>
      <c r="H127" s="45" t="n">
        <v>31633</v>
      </c>
      <c r="I127" s="46" t="n">
        <v>29467</v>
      </c>
      <c r="J127" s="37" t="n">
        <f aca="false">IFERROR(ROUND(I127/MAX(2026-D127,0.5),0),"")</f>
        <v>29467</v>
      </c>
      <c r="K127" s="35" t="s">
        <v>259</v>
      </c>
      <c r="L127" s="35" t="s">
        <v>256</v>
      </c>
      <c r="M127" s="35" t="s">
        <v>257</v>
      </c>
      <c r="N127" s="33" t="n">
        <v>28</v>
      </c>
      <c r="O127" s="35" t="s">
        <v>297</v>
      </c>
      <c r="P127" s="45" t="n">
        <v>31279</v>
      </c>
      <c r="Q127" s="38" t="n">
        <v>-0.011</v>
      </c>
      <c r="R127" s="35" t="s">
        <v>286</v>
      </c>
      <c r="S127" s="45" t="n">
        <v>260</v>
      </c>
      <c r="T127" s="35" t="s">
        <v>255</v>
      </c>
      <c r="U127" s="33" t="n">
        <v>2</v>
      </c>
      <c r="V127" s="35" t="s">
        <v>255</v>
      </c>
      <c r="W127" s="33" t="n">
        <v>8</v>
      </c>
      <c r="X127" s="35" t="s">
        <v>255</v>
      </c>
      <c r="Y127" s="35" t="s">
        <v>255</v>
      </c>
      <c r="Z127" s="35" t="s">
        <v>255</v>
      </c>
      <c r="AA127" s="35" t="s">
        <v>255</v>
      </c>
      <c r="AB127" s="35" t="s">
        <v>255</v>
      </c>
      <c r="AC127" s="35" t="s">
        <v>255</v>
      </c>
      <c r="AD127" s="35" t="s">
        <v>255</v>
      </c>
      <c r="AE127" s="35" t="s">
        <v>259</v>
      </c>
      <c r="AF127" s="35" t="s">
        <v>255</v>
      </c>
      <c r="AG127" s="35" t="s">
        <v>259</v>
      </c>
      <c r="AH127" s="35" t="s">
        <v>255</v>
      </c>
      <c r="AI127" s="35" t="s">
        <v>255</v>
      </c>
      <c r="AJ127" s="35" t="s">
        <v>255</v>
      </c>
      <c r="AK127" s="8" t="s">
        <v>269</v>
      </c>
      <c r="AL127" s="8" t="s">
        <v>260</v>
      </c>
      <c r="AM127" s="8" t="s">
        <v>278</v>
      </c>
      <c r="AN127" s="8" t="s">
        <v>375</v>
      </c>
      <c r="AO127" s="8" t="s">
        <v>376</v>
      </c>
      <c r="AP127" s="35" t="s">
        <v>265</v>
      </c>
      <c r="AQ127" s="39" t="n">
        <v>31.9</v>
      </c>
      <c r="AR127" s="39" t="n">
        <v>4.6</v>
      </c>
      <c r="AS127" s="33" t="n">
        <v>30</v>
      </c>
      <c r="AT127" s="45"/>
      <c r="AU127" s="45" t="n">
        <v>565.08</v>
      </c>
      <c r="AV127" s="45" t="n">
        <v>235</v>
      </c>
      <c r="AW127" s="39" t="n">
        <v>74.5</v>
      </c>
      <c r="AX127" s="39" t="n">
        <v>51.1</v>
      </c>
      <c r="AY127" s="39" t="n">
        <v>28.7</v>
      </c>
      <c r="AZ127" s="39" t="n">
        <v>82</v>
      </c>
      <c r="BA127" s="39" t="n">
        <v>0</v>
      </c>
      <c r="BB127" s="39" t="n">
        <v>57.4</v>
      </c>
      <c r="BC127" s="8" t="s">
        <v>599</v>
      </c>
      <c r="BD127" s="47" t="s">
        <v>282</v>
      </c>
      <c r="BE127" s="41" t="s">
        <v>600</v>
      </c>
    </row>
    <row r="128" customFormat="false" ht="15" hidden="false" customHeight="false" outlineLevel="0" collapsed="false">
      <c r="A128" s="33" t="n">
        <f aca="false">RANK(B128,$B$5:$B$266)</f>
        <v>124</v>
      </c>
      <c r="B128" s="34" t="n">
        <f aca="false">ROUND((AW128*'Scoring Weights'!$B$5+AX128*'Scoring Weights'!$B$6+AY128*'Scoring Weights'!$B$7+BA128*'Scoring Weights'!$B$8+AZ128*'Scoring Weights'!$B$9+BB128*'Scoring Weights'!$B$10)/MAX('Scoring Weights'!$B$11,1),1)</f>
        <v>49.8</v>
      </c>
      <c r="C128" s="35" t="str">
        <f aca="false">IF(AND(H128&lt;='Search Criteria'!$B$5,D128&gt;='Search Criteria'!$B$6,AQ128&lt;='Search Criteria'!$B$7,I128&lt;=INDEX('Search Criteria'!$B$18:$B$20,MATCH(E128,'Search Criteria'!$A$18:$A$20,0)),OR(NOT('Search Criteria'!$B$8),L128&lt;&gt;"FWD"),OR(NOT('Search Criteria'!$B$9),T128="Yes"),OR(NOT('Search Criteria'!$B$10),W128&gt;0),OR(NOT('Search Criteria'!$B$11),X128="Yes"),OR(NOT('Search Criteria'!$B$12),O128="GREAT",O128="GOOD"),OR(NOT('Search Criteria'!$B$13),K128="Yes")),"YES","no")</f>
        <v>no</v>
      </c>
      <c r="D128" s="33" t="n">
        <v>2024</v>
      </c>
      <c r="E128" s="8" t="s">
        <v>94</v>
      </c>
      <c r="F128" s="8" t="s">
        <v>232</v>
      </c>
      <c r="G128" s="8" t="s">
        <v>301</v>
      </c>
      <c r="H128" s="45" t="n">
        <v>29978</v>
      </c>
      <c r="I128" s="46" t="n">
        <v>46100</v>
      </c>
      <c r="J128" s="37" t="n">
        <f aca="false">IFERROR(ROUND(I128/MAX(2026-D128,0.5),0),"")</f>
        <v>23050</v>
      </c>
      <c r="K128" s="35" t="s">
        <v>259</v>
      </c>
      <c r="L128" s="35" t="s">
        <v>285</v>
      </c>
      <c r="M128" s="35" t="s">
        <v>302</v>
      </c>
      <c r="N128" s="33" t="n">
        <v>40</v>
      </c>
      <c r="O128" s="35" t="s">
        <v>276</v>
      </c>
      <c r="P128" s="45" t="n">
        <v>31722</v>
      </c>
      <c r="Q128" s="38" t="n">
        <v>0.055</v>
      </c>
      <c r="R128" s="35" t="s">
        <v>277</v>
      </c>
      <c r="S128" s="45"/>
      <c r="T128" s="35" t="s">
        <v>259</v>
      </c>
      <c r="U128" s="33" t="n">
        <v>2</v>
      </c>
      <c r="V128" s="35" t="s">
        <v>255</v>
      </c>
      <c r="W128" s="33" t="n">
        <v>9</v>
      </c>
      <c r="X128" s="35" t="s">
        <v>255</v>
      </c>
      <c r="Y128" s="35" t="s">
        <v>255</v>
      </c>
      <c r="Z128" s="35" t="s">
        <v>255</v>
      </c>
      <c r="AA128" s="35" t="s">
        <v>255</v>
      </c>
      <c r="AB128" s="35" t="s">
        <v>255</v>
      </c>
      <c r="AC128" s="35" t="s">
        <v>259</v>
      </c>
      <c r="AD128" s="35" t="s">
        <v>255</v>
      </c>
      <c r="AE128" s="35" t="s">
        <v>259</v>
      </c>
      <c r="AF128" s="35" t="s">
        <v>255</v>
      </c>
      <c r="AG128" s="35" t="s">
        <v>255</v>
      </c>
      <c r="AH128" s="35" t="s">
        <v>255</v>
      </c>
      <c r="AI128" s="35" t="s">
        <v>255</v>
      </c>
      <c r="AJ128" s="35" t="s">
        <v>259</v>
      </c>
      <c r="AK128" s="8" t="s">
        <v>260</v>
      </c>
      <c r="AL128" s="8" t="s">
        <v>261</v>
      </c>
      <c r="AM128" s="8" t="s">
        <v>303</v>
      </c>
      <c r="AN128" s="8" t="s">
        <v>565</v>
      </c>
      <c r="AO128" s="8" t="s">
        <v>566</v>
      </c>
      <c r="AP128" s="35" t="s">
        <v>265</v>
      </c>
      <c r="AQ128" s="39" t="n">
        <v>59.2</v>
      </c>
      <c r="AR128" s="39" t="n">
        <v>4.7</v>
      </c>
      <c r="AS128" s="33" t="n">
        <v>40</v>
      </c>
      <c r="AT128" s="45"/>
      <c r="AU128" s="45" t="n">
        <v>535.51</v>
      </c>
      <c r="AV128" s="45"/>
      <c r="AW128" s="39" t="n">
        <v>76.4</v>
      </c>
      <c r="AX128" s="39" t="n">
        <v>64.8</v>
      </c>
      <c r="AY128" s="39" t="n">
        <v>23.9</v>
      </c>
      <c r="AZ128" s="39" t="n">
        <v>74</v>
      </c>
      <c r="BA128" s="39" t="n">
        <v>0</v>
      </c>
      <c r="BB128" s="39" t="n">
        <v>21.1</v>
      </c>
      <c r="BC128" s="8" t="s">
        <v>601</v>
      </c>
      <c r="BD128" s="47" t="s">
        <v>307</v>
      </c>
      <c r="BE128" s="41" t="s">
        <v>602</v>
      </c>
    </row>
    <row r="129" customFormat="false" ht="15" hidden="false" customHeight="false" outlineLevel="0" collapsed="false">
      <c r="A129" s="33" t="n">
        <f aca="false">RANK(B129,$B$5:$B$266)</f>
        <v>125</v>
      </c>
      <c r="B129" s="34" t="n">
        <f aca="false">ROUND((AW129*'Scoring Weights'!$B$5+AX129*'Scoring Weights'!$B$6+AY129*'Scoring Weights'!$B$7+BA129*'Scoring Weights'!$B$8+AZ129*'Scoring Weights'!$B$9+BB129*'Scoring Weights'!$B$10)/MAX('Scoring Weights'!$B$11,1),1)</f>
        <v>49.7</v>
      </c>
      <c r="C129" s="35" t="str">
        <f aca="false">IF(AND(H129&lt;='Search Criteria'!$B$5,D129&gt;='Search Criteria'!$B$6,AQ129&lt;='Search Criteria'!$B$7,I129&lt;=INDEX('Search Criteria'!$B$18:$B$20,MATCH(E129,'Search Criteria'!$A$18:$A$20,0)),OR(NOT('Search Criteria'!$B$8),L129&lt;&gt;"FWD"),OR(NOT('Search Criteria'!$B$9),T129="Yes"),OR(NOT('Search Criteria'!$B$10),W129&gt;0),OR(NOT('Search Criteria'!$B$11),X129="Yes"),OR(NOT('Search Criteria'!$B$12),O129="GREAT",O129="GOOD"),OR(NOT('Search Criteria'!$B$13),K129="Yes")),"YES","no")</f>
        <v>no</v>
      </c>
      <c r="D129" s="33" t="n">
        <v>2022</v>
      </c>
      <c r="E129" s="8" t="s">
        <v>92</v>
      </c>
      <c r="F129" s="8" t="s">
        <v>236</v>
      </c>
      <c r="G129" s="8" t="s">
        <v>338</v>
      </c>
      <c r="H129" s="45" t="n">
        <v>20313</v>
      </c>
      <c r="I129" s="46" t="n">
        <v>122038</v>
      </c>
      <c r="J129" s="37" t="n">
        <f aca="false">IFERROR(ROUND(I129/MAX(2026-D129,0.5),0),"")</f>
        <v>30510</v>
      </c>
      <c r="K129" s="35" t="s">
        <v>259</v>
      </c>
      <c r="L129" s="35" t="s">
        <v>256</v>
      </c>
      <c r="M129" s="35" t="s">
        <v>257</v>
      </c>
      <c r="N129" s="33" t="n">
        <v>30</v>
      </c>
      <c r="O129" s="35" t="s">
        <v>258</v>
      </c>
      <c r="P129" s="45" t="n">
        <v>23846</v>
      </c>
      <c r="Q129" s="38" t="n">
        <v>0.148</v>
      </c>
      <c r="R129" s="35" t="s">
        <v>277</v>
      </c>
      <c r="S129" s="45"/>
      <c r="T129" s="35" t="s">
        <v>255</v>
      </c>
      <c r="U129" s="33" t="n">
        <v>1</v>
      </c>
      <c r="V129" s="35" t="s">
        <v>259</v>
      </c>
      <c r="W129" s="33" t="n">
        <v>20</v>
      </c>
      <c r="X129" s="35" t="s">
        <v>259</v>
      </c>
      <c r="Y129" s="35" t="s">
        <v>255</v>
      </c>
      <c r="Z129" s="35" t="s">
        <v>259</v>
      </c>
      <c r="AA129" s="35" t="s">
        <v>259</v>
      </c>
      <c r="AB129" s="35" t="s">
        <v>255</v>
      </c>
      <c r="AC129" s="35" t="s">
        <v>259</v>
      </c>
      <c r="AD129" s="35" t="s">
        <v>259</v>
      </c>
      <c r="AE129" s="35" t="s">
        <v>259</v>
      </c>
      <c r="AF129" s="35" t="s">
        <v>259</v>
      </c>
      <c r="AG129" s="35" t="s">
        <v>259</v>
      </c>
      <c r="AH129" s="35" t="s">
        <v>259</v>
      </c>
      <c r="AI129" s="35" t="s">
        <v>259</v>
      </c>
      <c r="AJ129" s="35" t="s">
        <v>259</v>
      </c>
      <c r="AK129" s="8" t="s">
        <v>292</v>
      </c>
      <c r="AL129" s="8" t="s">
        <v>261</v>
      </c>
      <c r="AM129" s="8" t="s">
        <v>278</v>
      </c>
      <c r="AN129" s="8" t="s">
        <v>533</v>
      </c>
      <c r="AO129" s="8" t="s">
        <v>506</v>
      </c>
      <c r="AP129" s="35" t="s">
        <v>272</v>
      </c>
      <c r="AQ129" s="39" t="n">
        <v>52.6</v>
      </c>
      <c r="AR129" s="39" t="n">
        <v>4.5</v>
      </c>
      <c r="AS129" s="33" t="n">
        <v>9</v>
      </c>
      <c r="AT129" s="45"/>
      <c r="AU129" s="45" t="n">
        <v>362.86</v>
      </c>
      <c r="AV129" s="45" t="n">
        <v>314</v>
      </c>
      <c r="AW129" s="39" t="n">
        <v>94.4</v>
      </c>
      <c r="AX129" s="39" t="n">
        <v>99.7</v>
      </c>
      <c r="AY129" s="39" t="n">
        <v>0</v>
      </c>
      <c r="AZ129" s="39" t="n">
        <v>12</v>
      </c>
      <c r="BA129" s="39" t="n">
        <v>0</v>
      </c>
      <c r="BB129" s="39" t="n">
        <v>29.9</v>
      </c>
      <c r="BC129" s="8" t="s">
        <v>603</v>
      </c>
      <c r="BD129" s="47" t="s">
        <v>365</v>
      </c>
      <c r="BE129" s="41" t="s">
        <v>604</v>
      </c>
    </row>
    <row r="130" customFormat="false" ht="15" hidden="false" customHeight="false" outlineLevel="0" collapsed="false">
      <c r="A130" s="33" t="n">
        <f aca="false">RANK(B130,$B$5:$B$266)</f>
        <v>126</v>
      </c>
      <c r="B130" s="34" t="n">
        <f aca="false">ROUND((AW130*'Scoring Weights'!$B$5+AX130*'Scoring Weights'!$B$6+AY130*'Scoring Weights'!$B$7+BA130*'Scoring Weights'!$B$8+AZ130*'Scoring Weights'!$B$9+BB130*'Scoring Weights'!$B$10)/MAX('Scoring Weights'!$B$11,1),1)</f>
        <v>49.6</v>
      </c>
      <c r="C130" s="35" t="str">
        <f aca="false">IF(AND(H130&lt;='Search Criteria'!$B$5,D130&gt;='Search Criteria'!$B$6,AQ130&lt;='Search Criteria'!$B$7,I130&lt;=INDEX('Search Criteria'!$B$18:$B$20,MATCH(E130,'Search Criteria'!$A$18:$A$20,0)),OR(NOT('Search Criteria'!$B$8),L130&lt;&gt;"FWD"),OR(NOT('Search Criteria'!$B$9),T130="Yes"),OR(NOT('Search Criteria'!$B$10),W130&gt;0),OR(NOT('Search Criteria'!$B$11),X130="Yes"),OR(NOT('Search Criteria'!$B$12),O130="GREAT",O130="GOOD"),OR(NOT('Search Criteria'!$B$13),K130="Yes")),"YES","no")</f>
        <v>no</v>
      </c>
      <c r="D130" s="33" t="n">
        <v>2022</v>
      </c>
      <c r="E130" s="8" t="s">
        <v>94</v>
      </c>
      <c r="F130" s="8" t="s">
        <v>232</v>
      </c>
      <c r="G130" s="8" t="s">
        <v>268</v>
      </c>
      <c r="H130" s="45" t="n">
        <v>28219</v>
      </c>
      <c r="I130" s="46" t="n">
        <v>43692</v>
      </c>
      <c r="J130" s="37" t="n">
        <f aca="false">IFERROR(ROUND(I130/MAX(2026-D130,0.5),0),"")</f>
        <v>10923</v>
      </c>
      <c r="K130" s="35" t="s">
        <v>259</v>
      </c>
      <c r="L130" s="35" t="s">
        <v>256</v>
      </c>
      <c r="M130" s="35" t="s">
        <v>257</v>
      </c>
      <c r="N130" s="33" t="n">
        <v>29</v>
      </c>
      <c r="O130" s="35" t="s">
        <v>297</v>
      </c>
      <c r="P130" s="45" t="n">
        <v>29612</v>
      </c>
      <c r="Q130" s="38" t="n">
        <v>0.047</v>
      </c>
      <c r="R130" s="35" t="s">
        <v>258</v>
      </c>
      <c r="S130" s="45" t="n">
        <v>190</v>
      </c>
      <c r="T130" s="35" t="s">
        <v>255</v>
      </c>
      <c r="U130" s="33" t="n">
        <v>2</v>
      </c>
      <c r="V130" s="35" t="s">
        <v>255</v>
      </c>
      <c r="W130" s="33" t="n">
        <v>2</v>
      </c>
      <c r="X130" s="35" t="s">
        <v>255</v>
      </c>
      <c r="Y130" s="35" t="s">
        <v>255</v>
      </c>
      <c r="Z130" s="35" t="s">
        <v>259</v>
      </c>
      <c r="AA130" s="35" t="s">
        <v>255</v>
      </c>
      <c r="AB130" s="35" t="s">
        <v>255</v>
      </c>
      <c r="AC130" s="35" t="s">
        <v>259</v>
      </c>
      <c r="AD130" s="35" t="s">
        <v>255</v>
      </c>
      <c r="AE130" s="35" t="s">
        <v>255</v>
      </c>
      <c r="AF130" s="35" t="s">
        <v>259</v>
      </c>
      <c r="AG130" s="35" t="s">
        <v>259</v>
      </c>
      <c r="AH130" s="35" t="s">
        <v>259</v>
      </c>
      <c r="AI130" s="35" t="s">
        <v>255</v>
      </c>
      <c r="AJ130" s="35" t="s">
        <v>259</v>
      </c>
      <c r="AK130" s="8" t="s">
        <v>269</v>
      </c>
      <c r="AL130" s="8" t="s">
        <v>261</v>
      </c>
      <c r="AM130" s="8" t="s">
        <v>262</v>
      </c>
      <c r="AN130" s="8" t="s">
        <v>605</v>
      </c>
      <c r="AO130" s="8" t="s">
        <v>271</v>
      </c>
      <c r="AP130" s="35" t="s">
        <v>272</v>
      </c>
      <c r="AQ130" s="39" t="n">
        <v>73.9</v>
      </c>
      <c r="AR130" s="39" t="n">
        <v>4.5</v>
      </c>
      <c r="AS130" s="33" t="n">
        <v>12</v>
      </c>
      <c r="AT130" s="45" t="n">
        <v>81</v>
      </c>
      <c r="AU130" s="45" t="n">
        <v>504.09</v>
      </c>
      <c r="AV130" s="45" t="n">
        <v>399</v>
      </c>
      <c r="AW130" s="39" t="n">
        <v>81.6</v>
      </c>
      <c r="AX130" s="39" t="n">
        <v>59.8</v>
      </c>
      <c r="AY130" s="39" t="n">
        <v>44</v>
      </c>
      <c r="AZ130" s="39" t="n">
        <v>52</v>
      </c>
      <c r="BA130" s="39" t="n">
        <v>0</v>
      </c>
      <c r="BB130" s="39" t="n">
        <v>1.5</v>
      </c>
      <c r="BC130" s="8" t="s">
        <v>606</v>
      </c>
      <c r="BD130" s="47" t="s">
        <v>431</v>
      </c>
      <c r="BE130" s="41" t="s">
        <v>607</v>
      </c>
    </row>
    <row r="131" customFormat="false" ht="15" hidden="false" customHeight="false" outlineLevel="0" collapsed="false">
      <c r="A131" s="33" t="n">
        <f aca="false">RANK(B131,$B$5:$B$266)</f>
        <v>126</v>
      </c>
      <c r="B131" s="34" t="n">
        <f aca="false">ROUND((AW131*'Scoring Weights'!$B$5+AX131*'Scoring Weights'!$B$6+AY131*'Scoring Weights'!$B$7+BA131*'Scoring Weights'!$B$8+AZ131*'Scoring Weights'!$B$9+BB131*'Scoring Weights'!$B$10)/MAX('Scoring Weights'!$B$11,1),1)</f>
        <v>49.6</v>
      </c>
      <c r="C131" s="35" t="str">
        <f aca="false">IF(AND(H131&lt;='Search Criteria'!$B$5,D131&gt;='Search Criteria'!$B$6,AQ131&lt;='Search Criteria'!$B$7,I131&lt;=INDEX('Search Criteria'!$B$18:$B$20,MATCH(E131,'Search Criteria'!$A$18:$A$20,0)),OR(NOT('Search Criteria'!$B$8),L131&lt;&gt;"FWD"),OR(NOT('Search Criteria'!$B$9),T131="Yes"),OR(NOT('Search Criteria'!$B$10),W131&gt;0),OR(NOT('Search Criteria'!$B$11),X131="Yes"),OR(NOT('Search Criteria'!$B$12),O131="GREAT",O131="GOOD"),OR(NOT('Search Criteria'!$B$13),K131="Yes")),"YES","no")</f>
        <v>no</v>
      </c>
      <c r="D131" s="33" t="n">
        <v>2024</v>
      </c>
      <c r="E131" s="8" t="s">
        <v>92</v>
      </c>
      <c r="F131" s="8" t="s">
        <v>236</v>
      </c>
      <c r="G131" s="8" t="s">
        <v>338</v>
      </c>
      <c r="H131" s="45" t="n">
        <v>29033</v>
      </c>
      <c r="I131" s="46" t="n">
        <v>49279</v>
      </c>
      <c r="J131" s="37" t="n">
        <f aca="false">IFERROR(ROUND(I131/MAX(2026-D131,0.5),0),"")</f>
        <v>24640</v>
      </c>
      <c r="K131" s="35" t="s">
        <v>259</v>
      </c>
      <c r="L131" s="35" t="s">
        <v>256</v>
      </c>
      <c r="M131" s="35" t="s">
        <v>257</v>
      </c>
      <c r="N131" s="33" t="n">
        <v>30</v>
      </c>
      <c r="O131" s="35" t="s">
        <v>276</v>
      </c>
      <c r="P131" s="45" t="n">
        <v>32043</v>
      </c>
      <c r="Q131" s="38" t="n">
        <v>0.094</v>
      </c>
      <c r="R131" s="35" t="s">
        <v>258</v>
      </c>
      <c r="S131" s="45" t="n">
        <v>340</v>
      </c>
      <c r="T131" s="35" t="s">
        <v>255</v>
      </c>
      <c r="U131" s="33" t="n">
        <v>1</v>
      </c>
      <c r="V131" s="35" t="s">
        <v>259</v>
      </c>
      <c r="W131" s="33" t="n">
        <v>2</v>
      </c>
      <c r="X131" s="35" t="s">
        <v>259</v>
      </c>
      <c r="Y131" s="35" t="s">
        <v>255</v>
      </c>
      <c r="Z131" s="35" t="s">
        <v>259</v>
      </c>
      <c r="AA131" s="35" t="s">
        <v>259</v>
      </c>
      <c r="AB131" s="35" t="s">
        <v>255</v>
      </c>
      <c r="AC131" s="35" t="s">
        <v>259</v>
      </c>
      <c r="AD131" s="35" t="s">
        <v>259</v>
      </c>
      <c r="AE131" s="35" t="s">
        <v>259</v>
      </c>
      <c r="AF131" s="35" t="s">
        <v>259</v>
      </c>
      <c r="AG131" s="35" t="s">
        <v>259</v>
      </c>
      <c r="AH131" s="35" t="s">
        <v>259</v>
      </c>
      <c r="AI131" s="35" t="s">
        <v>259</v>
      </c>
      <c r="AJ131" s="35" t="s">
        <v>259</v>
      </c>
      <c r="AK131" s="8" t="s">
        <v>269</v>
      </c>
      <c r="AL131" s="8" t="s">
        <v>261</v>
      </c>
      <c r="AM131" s="8" t="s">
        <v>278</v>
      </c>
      <c r="AN131" s="8" t="s">
        <v>594</v>
      </c>
      <c r="AO131" s="8" t="s">
        <v>448</v>
      </c>
      <c r="AP131" s="35" t="s">
        <v>265</v>
      </c>
      <c r="AQ131" s="39" t="n">
        <v>16</v>
      </c>
      <c r="AR131" s="39" t="n">
        <v>4.5</v>
      </c>
      <c r="AS131" s="33" t="n">
        <v>34</v>
      </c>
      <c r="AT131" s="45"/>
      <c r="AU131" s="45" t="n">
        <v>518.63</v>
      </c>
      <c r="AV131" s="45"/>
      <c r="AW131" s="39" t="n">
        <v>84.8</v>
      </c>
      <c r="AX131" s="39" t="n">
        <v>70.7</v>
      </c>
      <c r="AY131" s="39" t="n">
        <v>35.5</v>
      </c>
      <c r="AZ131" s="39" t="n">
        <v>12</v>
      </c>
      <c r="BA131" s="39" t="n">
        <v>0</v>
      </c>
      <c r="BB131" s="39" t="n">
        <v>78.7</v>
      </c>
      <c r="BC131" s="8" t="s">
        <v>608</v>
      </c>
      <c r="BD131" s="47" t="s">
        <v>346</v>
      </c>
      <c r="BE131" s="41" t="s">
        <v>609</v>
      </c>
    </row>
    <row r="132" customFormat="false" ht="15" hidden="false" customHeight="false" outlineLevel="0" collapsed="false">
      <c r="A132" s="33" t="n">
        <f aca="false">RANK(B132,$B$5:$B$266)</f>
        <v>126</v>
      </c>
      <c r="B132" s="34" t="n">
        <f aca="false">ROUND((AW132*'Scoring Weights'!$B$5+AX132*'Scoring Weights'!$B$6+AY132*'Scoring Weights'!$B$7+BA132*'Scoring Weights'!$B$8+AZ132*'Scoring Weights'!$B$9+BB132*'Scoring Weights'!$B$10)/MAX('Scoring Weights'!$B$11,1),1)</f>
        <v>49.6</v>
      </c>
      <c r="C132" s="35" t="str">
        <f aca="false">IF(AND(H132&lt;='Search Criteria'!$B$5,D132&gt;='Search Criteria'!$B$6,AQ132&lt;='Search Criteria'!$B$7,I132&lt;=INDEX('Search Criteria'!$B$18:$B$20,MATCH(E132,'Search Criteria'!$A$18:$A$20,0)),OR(NOT('Search Criteria'!$B$8),L132&lt;&gt;"FWD"),OR(NOT('Search Criteria'!$B$9),T132="Yes"),OR(NOT('Search Criteria'!$B$10),W132&gt;0),OR(NOT('Search Criteria'!$B$11),X132="Yes"),OR(NOT('Search Criteria'!$B$12),O132="GREAT",O132="GOOD"),OR(NOT('Search Criteria'!$B$13),K132="Yes")),"YES","no")</f>
        <v>no</v>
      </c>
      <c r="D132" s="33" t="n">
        <v>2024</v>
      </c>
      <c r="E132" s="8" t="s">
        <v>92</v>
      </c>
      <c r="F132" s="8" t="s">
        <v>236</v>
      </c>
      <c r="G132" s="8" t="s">
        <v>296</v>
      </c>
      <c r="H132" s="45" t="n">
        <v>30219</v>
      </c>
      <c r="I132" s="46" t="n">
        <v>55101</v>
      </c>
      <c r="J132" s="37" t="n">
        <f aca="false">IFERROR(ROUND(I132/MAX(2026-D132,0.5),0),"")</f>
        <v>27551</v>
      </c>
      <c r="K132" s="35" t="s">
        <v>259</v>
      </c>
      <c r="L132" s="35" t="s">
        <v>256</v>
      </c>
      <c r="M132" s="35" t="s">
        <v>257</v>
      </c>
      <c r="N132" s="33" t="n">
        <v>28</v>
      </c>
      <c r="O132" s="35" t="s">
        <v>297</v>
      </c>
      <c r="P132" s="45" t="n">
        <v>31578</v>
      </c>
      <c r="Q132" s="38" t="n">
        <v>0.043</v>
      </c>
      <c r="R132" s="35" t="s">
        <v>258</v>
      </c>
      <c r="S132" s="45" t="n">
        <v>340</v>
      </c>
      <c r="T132" s="35" t="s">
        <v>255</v>
      </c>
      <c r="U132" s="33" t="n">
        <v>1</v>
      </c>
      <c r="V132" s="35" t="s">
        <v>259</v>
      </c>
      <c r="W132" s="33" t="n">
        <v>6</v>
      </c>
      <c r="X132" s="35" t="s">
        <v>255</v>
      </c>
      <c r="Y132" s="35" t="s">
        <v>255</v>
      </c>
      <c r="Z132" s="35" t="s">
        <v>255</v>
      </c>
      <c r="AA132" s="35" t="s">
        <v>259</v>
      </c>
      <c r="AB132" s="35" t="s">
        <v>255</v>
      </c>
      <c r="AC132" s="35" t="s">
        <v>259</v>
      </c>
      <c r="AD132" s="35" t="s">
        <v>259</v>
      </c>
      <c r="AE132" s="35" t="s">
        <v>259</v>
      </c>
      <c r="AF132" s="35" t="s">
        <v>259</v>
      </c>
      <c r="AG132" s="35" t="s">
        <v>259</v>
      </c>
      <c r="AH132" s="35" t="s">
        <v>259</v>
      </c>
      <c r="AI132" s="35" t="s">
        <v>255</v>
      </c>
      <c r="AJ132" s="35" t="s">
        <v>259</v>
      </c>
      <c r="AK132" s="8" t="s">
        <v>269</v>
      </c>
      <c r="AL132" s="8" t="s">
        <v>261</v>
      </c>
      <c r="AM132" s="8" t="s">
        <v>278</v>
      </c>
      <c r="AN132" s="8" t="s">
        <v>447</v>
      </c>
      <c r="AO132" s="8" t="s">
        <v>448</v>
      </c>
      <c r="AP132" s="35" t="s">
        <v>265</v>
      </c>
      <c r="AQ132" s="39" t="n">
        <v>15.4</v>
      </c>
      <c r="AR132" s="39" t="n">
        <v>4.1</v>
      </c>
      <c r="AS132" s="33" t="n">
        <v>53</v>
      </c>
      <c r="AT132" s="45"/>
      <c r="AU132" s="45" t="n">
        <v>539.82</v>
      </c>
      <c r="AV132" s="45" t="n">
        <v>250</v>
      </c>
      <c r="AW132" s="39" t="n">
        <v>89.6</v>
      </c>
      <c r="AX132" s="39" t="n">
        <v>59.2</v>
      </c>
      <c r="AY132" s="39" t="n">
        <v>31.4</v>
      </c>
      <c r="AZ132" s="39" t="n">
        <v>26</v>
      </c>
      <c r="BA132" s="39" t="n">
        <v>0</v>
      </c>
      <c r="BB132" s="39" t="n">
        <v>79.5</v>
      </c>
      <c r="BC132" s="8" t="s">
        <v>610</v>
      </c>
      <c r="BD132" s="47" t="s">
        <v>346</v>
      </c>
      <c r="BE132" s="41" t="s">
        <v>611</v>
      </c>
    </row>
    <row r="133" customFormat="false" ht="15" hidden="false" customHeight="false" outlineLevel="0" collapsed="false">
      <c r="A133" s="33" t="n">
        <f aca="false">RANK(B133,$B$5:$B$266)</f>
        <v>129</v>
      </c>
      <c r="B133" s="34" t="n">
        <f aca="false">ROUND((AW133*'Scoring Weights'!$B$5+AX133*'Scoring Weights'!$B$6+AY133*'Scoring Weights'!$B$7+BA133*'Scoring Weights'!$B$8+AZ133*'Scoring Weights'!$B$9+BB133*'Scoring Weights'!$B$10)/MAX('Scoring Weights'!$B$11,1),1)</f>
        <v>49.4</v>
      </c>
      <c r="C133" s="35" t="str">
        <f aca="false">IF(AND(H133&lt;='Search Criteria'!$B$5,D133&gt;='Search Criteria'!$B$6,AQ133&lt;='Search Criteria'!$B$7,I133&lt;=INDEX('Search Criteria'!$B$18:$B$20,MATCH(E133,'Search Criteria'!$A$18:$A$20,0)),OR(NOT('Search Criteria'!$B$8),L133&lt;&gt;"FWD"),OR(NOT('Search Criteria'!$B$9),T133="Yes"),OR(NOT('Search Criteria'!$B$10),W133&gt;0),OR(NOT('Search Criteria'!$B$11),X133="Yes"),OR(NOT('Search Criteria'!$B$12),O133="GREAT",O133="GOOD"),OR(NOT('Search Criteria'!$B$13),K133="Yes")),"YES","no")</f>
        <v>no</v>
      </c>
      <c r="D133" s="33" t="n">
        <v>2025</v>
      </c>
      <c r="E133" s="8" t="s">
        <v>92</v>
      </c>
      <c r="F133" s="8" t="s">
        <v>236</v>
      </c>
      <c r="G133" s="8" t="s">
        <v>296</v>
      </c>
      <c r="H133" s="45" t="n">
        <v>31868</v>
      </c>
      <c r="I133" s="46" t="n">
        <v>44019</v>
      </c>
      <c r="J133" s="37" t="n">
        <f aca="false">IFERROR(ROUND(I133/MAX(2026-D133,0.5),0),"")</f>
        <v>44019</v>
      </c>
      <c r="K133" s="35" t="s">
        <v>259</v>
      </c>
      <c r="L133" s="35" t="s">
        <v>256</v>
      </c>
      <c r="M133" s="35" t="s">
        <v>257</v>
      </c>
      <c r="N133" s="33" t="n">
        <v>28</v>
      </c>
      <c r="O133" s="35" t="s">
        <v>286</v>
      </c>
      <c r="P133" s="45" t="n">
        <v>33657</v>
      </c>
      <c r="Q133" s="38" t="n">
        <v>0.053</v>
      </c>
      <c r="R133" s="35" t="s">
        <v>258</v>
      </c>
      <c r="S133" s="45" t="n">
        <v>340</v>
      </c>
      <c r="T133" s="35" t="s">
        <v>255</v>
      </c>
      <c r="U133" s="33" t="n">
        <v>1</v>
      </c>
      <c r="V133" s="35" t="s">
        <v>259</v>
      </c>
      <c r="W133" s="33" t="n">
        <v>5</v>
      </c>
      <c r="X133" s="35" t="s">
        <v>259</v>
      </c>
      <c r="Y133" s="35" t="s">
        <v>255</v>
      </c>
      <c r="Z133" s="35" t="s">
        <v>259</v>
      </c>
      <c r="AA133" s="35" t="s">
        <v>259</v>
      </c>
      <c r="AB133" s="35" t="s">
        <v>255</v>
      </c>
      <c r="AC133" s="35" t="s">
        <v>259</v>
      </c>
      <c r="AD133" s="35" t="s">
        <v>259</v>
      </c>
      <c r="AE133" s="35" t="s">
        <v>259</v>
      </c>
      <c r="AF133" s="35" t="s">
        <v>259</v>
      </c>
      <c r="AG133" s="35" t="s">
        <v>259</v>
      </c>
      <c r="AH133" s="35" t="s">
        <v>259</v>
      </c>
      <c r="AI133" s="35" t="s">
        <v>255</v>
      </c>
      <c r="AJ133" s="35" t="s">
        <v>259</v>
      </c>
      <c r="AK133" s="8" t="s">
        <v>292</v>
      </c>
      <c r="AL133" s="8" t="s">
        <v>260</v>
      </c>
      <c r="AM133" s="8" t="s">
        <v>278</v>
      </c>
      <c r="AN133" s="8" t="s">
        <v>384</v>
      </c>
      <c r="AO133" s="8" t="s">
        <v>340</v>
      </c>
      <c r="AP133" s="35" t="s">
        <v>265</v>
      </c>
      <c r="AQ133" s="39" t="n">
        <v>59.8</v>
      </c>
      <c r="AR133" s="39" t="n">
        <v>4.8</v>
      </c>
      <c r="AS133" s="33" t="n">
        <v>61</v>
      </c>
      <c r="AT133" s="45" t="n">
        <v>2832</v>
      </c>
      <c r="AU133" s="45" t="n">
        <v>569.28</v>
      </c>
      <c r="AV133" s="45" t="n">
        <v>268</v>
      </c>
      <c r="AW133" s="39" t="n">
        <v>88.4</v>
      </c>
      <c r="AX133" s="39" t="n">
        <v>73.4</v>
      </c>
      <c r="AY133" s="39" t="n">
        <v>39.2</v>
      </c>
      <c r="AZ133" s="39" t="n">
        <v>16</v>
      </c>
      <c r="BA133" s="39" t="n">
        <v>0</v>
      </c>
      <c r="BB133" s="39" t="n">
        <v>20.3</v>
      </c>
      <c r="BC133" s="8" t="s">
        <v>612</v>
      </c>
      <c r="BD133" s="47" t="s">
        <v>290</v>
      </c>
      <c r="BE133" s="41" t="s">
        <v>613</v>
      </c>
    </row>
    <row r="134" customFormat="false" ht="15" hidden="false" customHeight="false" outlineLevel="0" collapsed="false">
      <c r="A134" s="33" t="n">
        <f aca="false">RANK(B134,$B$5:$B$266)</f>
        <v>130</v>
      </c>
      <c r="B134" s="34" t="n">
        <f aca="false">ROUND((AW134*'Scoring Weights'!$B$5+AX134*'Scoring Weights'!$B$6+AY134*'Scoring Weights'!$B$7+BA134*'Scoring Weights'!$B$8+AZ134*'Scoring Weights'!$B$9+BB134*'Scoring Weights'!$B$10)/MAX('Scoring Weights'!$B$11,1),1)</f>
        <v>49.2</v>
      </c>
      <c r="C134" s="35" t="str">
        <f aca="false">IF(AND(H134&lt;='Search Criteria'!$B$5,D134&gt;='Search Criteria'!$B$6,AQ134&lt;='Search Criteria'!$B$7,I134&lt;=INDEX('Search Criteria'!$B$18:$B$20,MATCH(E134,'Search Criteria'!$A$18:$A$20,0)),OR(NOT('Search Criteria'!$B$8),L134&lt;&gt;"FWD"),OR(NOT('Search Criteria'!$B$9),T134="Yes"),OR(NOT('Search Criteria'!$B$10),W134&gt;0),OR(NOT('Search Criteria'!$B$11),X134="Yes"),OR(NOT('Search Criteria'!$B$12),O134="GREAT",O134="GOOD"),OR(NOT('Search Criteria'!$B$13),K134="Yes")),"YES","no")</f>
        <v>no</v>
      </c>
      <c r="D134" s="33" t="n">
        <v>2022</v>
      </c>
      <c r="E134" s="8" t="s">
        <v>92</v>
      </c>
      <c r="F134" s="8" t="s">
        <v>236</v>
      </c>
      <c r="G134" s="8" t="s">
        <v>453</v>
      </c>
      <c r="H134" s="45" t="n">
        <v>34253</v>
      </c>
      <c r="I134" s="46" t="n">
        <v>61297</v>
      </c>
      <c r="J134" s="37" t="n">
        <f aca="false">IFERROR(ROUND(I134/MAX(2026-D134,0.5),0),"")</f>
        <v>15324</v>
      </c>
      <c r="K134" s="35" t="s">
        <v>259</v>
      </c>
      <c r="L134" s="35" t="s">
        <v>256</v>
      </c>
      <c r="M134" s="35" t="s">
        <v>302</v>
      </c>
      <c r="N134" s="33" t="n">
        <v>40</v>
      </c>
      <c r="O134" s="35" t="s">
        <v>276</v>
      </c>
      <c r="P134" s="45" t="n">
        <v>28695</v>
      </c>
      <c r="Q134" s="38" t="n">
        <v>-0.194</v>
      </c>
      <c r="R134" s="35" t="s">
        <v>258</v>
      </c>
      <c r="S134" s="45" t="n">
        <v>390</v>
      </c>
      <c r="T134" s="35" t="s">
        <v>255</v>
      </c>
      <c r="U134" s="33" t="n">
        <v>1</v>
      </c>
      <c r="V134" s="35" t="s">
        <v>255</v>
      </c>
      <c r="W134" s="33" t="n">
        <v>9</v>
      </c>
      <c r="X134" s="35" t="s">
        <v>255</v>
      </c>
      <c r="Y134" s="35" t="s">
        <v>255</v>
      </c>
      <c r="Z134" s="35" t="s">
        <v>255</v>
      </c>
      <c r="AA134" s="35" t="s">
        <v>255</v>
      </c>
      <c r="AB134" s="35" t="s">
        <v>255</v>
      </c>
      <c r="AC134" s="35" t="s">
        <v>255</v>
      </c>
      <c r="AD134" s="35" t="s">
        <v>255</v>
      </c>
      <c r="AE134" s="35" t="s">
        <v>259</v>
      </c>
      <c r="AF134" s="35" t="s">
        <v>259</v>
      </c>
      <c r="AG134" s="35" t="s">
        <v>259</v>
      </c>
      <c r="AH134" s="35" t="s">
        <v>259</v>
      </c>
      <c r="AI134" s="35" t="s">
        <v>255</v>
      </c>
      <c r="AJ134" s="35" t="s">
        <v>259</v>
      </c>
      <c r="AK134" s="8" t="s">
        <v>261</v>
      </c>
      <c r="AL134" s="8" t="s">
        <v>261</v>
      </c>
      <c r="AM134" s="8" t="s">
        <v>278</v>
      </c>
      <c r="AN134" s="8" t="s">
        <v>614</v>
      </c>
      <c r="AO134" s="8" t="s">
        <v>340</v>
      </c>
      <c r="AP134" s="35" t="s">
        <v>265</v>
      </c>
      <c r="AQ134" s="39" t="n">
        <v>60.2</v>
      </c>
      <c r="AR134" s="39" t="n">
        <v>4.6</v>
      </c>
      <c r="AS134" s="33" t="n">
        <v>54</v>
      </c>
      <c r="AT134" s="45"/>
      <c r="AU134" s="45" t="n">
        <v>611.88</v>
      </c>
      <c r="AV134" s="45" t="n">
        <v>262</v>
      </c>
      <c r="AW134" s="39" t="n">
        <v>98.8</v>
      </c>
      <c r="AX134" s="39" t="n">
        <v>34.1</v>
      </c>
      <c r="AY134" s="39" t="n">
        <v>33.8</v>
      </c>
      <c r="AZ134" s="39" t="n">
        <v>64</v>
      </c>
      <c r="BA134" s="39" t="n">
        <v>0</v>
      </c>
      <c r="BB134" s="39" t="n">
        <v>19.8</v>
      </c>
      <c r="BC134" s="8" t="s">
        <v>615</v>
      </c>
      <c r="BD134" s="47" t="s">
        <v>365</v>
      </c>
      <c r="BE134" s="41" t="s">
        <v>616</v>
      </c>
    </row>
    <row r="135" customFormat="false" ht="15" hidden="false" customHeight="false" outlineLevel="0" collapsed="false">
      <c r="A135" s="33" t="n">
        <f aca="false">RANK(B135,$B$5:$B$266)</f>
        <v>130</v>
      </c>
      <c r="B135" s="34" t="n">
        <f aca="false">ROUND((AW135*'Scoring Weights'!$B$5+AX135*'Scoring Weights'!$B$6+AY135*'Scoring Weights'!$B$7+BA135*'Scoring Weights'!$B$8+AZ135*'Scoring Weights'!$B$9+BB135*'Scoring Weights'!$B$10)/MAX('Scoring Weights'!$B$11,1),1)</f>
        <v>49.2</v>
      </c>
      <c r="C135" s="35" t="str">
        <f aca="false">IF(AND(H135&lt;='Search Criteria'!$B$5,D135&gt;='Search Criteria'!$B$6,AQ135&lt;='Search Criteria'!$B$7,I135&lt;=INDEX('Search Criteria'!$B$18:$B$20,MATCH(E135,'Search Criteria'!$A$18:$A$20,0)),OR(NOT('Search Criteria'!$B$8),L135&lt;&gt;"FWD"),OR(NOT('Search Criteria'!$B$9),T135="Yes"),OR(NOT('Search Criteria'!$B$10),W135&gt;0),OR(NOT('Search Criteria'!$B$11),X135="Yes"),OR(NOT('Search Criteria'!$B$12),O135="GREAT",O135="GOOD"),OR(NOT('Search Criteria'!$B$13),K135="Yes")),"YES","no")</f>
        <v>no</v>
      </c>
      <c r="D135" s="33" t="n">
        <v>2023</v>
      </c>
      <c r="E135" s="8" t="s">
        <v>92</v>
      </c>
      <c r="F135" s="8" t="s">
        <v>236</v>
      </c>
      <c r="G135" s="8" t="s">
        <v>296</v>
      </c>
      <c r="H135" s="45" t="n">
        <v>30995</v>
      </c>
      <c r="I135" s="46" t="n">
        <v>47036</v>
      </c>
      <c r="J135" s="37" t="n">
        <f aca="false">IFERROR(ROUND(I135/MAX(2026-D135,0.5),0),"")</f>
        <v>15679</v>
      </c>
      <c r="K135" s="35" t="s">
        <v>259</v>
      </c>
      <c r="L135" s="35" t="s">
        <v>256</v>
      </c>
      <c r="M135" s="35" t="s">
        <v>257</v>
      </c>
      <c r="N135" s="33" t="n">
        <v>28</v>
      </c>
      <c r="O135" s="35" t="s">
        <v>276</v>
      </c>
      <c r="P135" s="45" t="n">
        <v>31028</v>
      </c>
      <c r="Q135" s="38" t="n">
        <v>0.001</v>
      </c>
      <c r="R135" s="35" t="s">
        <v>258</v>
      </c>
      <c r="S135" s="45" t="n">
        <v>300</v>
      </c>
      <c r="T135" s="35" t="s">
        <v>255</v>
      </c>
      <c r="U135" s="33" t="n">
        <v>3</v>
      </c>
      <c r="V135" s="35" t="s">
        <v>259</v>
      </c>
      <c r="W135" s="33" t="n">
        <v>7</v>
      </c>
      <c r="X135" s="35" t="s">
        <v>255</v>
      </c>
      <c r="Y135" s="35" t="s">
        <v>255</v>
      </c>
      <c r="Z135" s="35" t="s">
        <v>255</v>
      </c>
      <c r="AA135" s="35" t="s">
        <v>259</v>
      </c>
      <c r="AB135" s="35" t="s">
        <v>255</v>
      </c>
      <c r="AC135" s="35" t="s">
        <v>259</v>
      </c>
      <c r="AD135" s="35" t="s">
        <v>255</v>
      </c>
      <c r="AE135" s="35" t="s">
        <v>255</v>
      </c>
      <c r="AF135" s="35" t="s">
        <v>259</v>
      </c>
      <c r="AG135" s="35" t="s">
        <v>259</v>
      </c>
      <c r="AH135" s="35" t="s">
        <v>255</v>
      </c>
      <c r="AI135" s="35" t="s">
        <v>255</v>
      </c>
      <c r="AJ135" s="35" t="s">
        <v>259</v>
      </c>
      <c r="AK135" s="8" t="s">
        <v>292</v>
      </c>
      <c r="AL135" s="8" t="s">
        <v>261</v>
      </c>
      <c r="AM135" s="8" t="s">
        <v>278</v>
      </c>
      <c r="AN135" s="8" t="s">
        <v>617</v>
      </c>
      <c r="AO135" s="8" t="s">
        <v>425</v>
      </c>
      <c r="AP135" s="35" t="s">
        <v>265</v>
      </c>
      <c r="AQ135" s="39" t="n">
        <v>73.5</v>
      </c>
      <c r="AR135" s="39" t="n">
        <v>3.2</v>
      </c>
      <c r="AS135" s="33" t="n">
        <v>15</v>
      </c>
      <c r="AT135" s="45"/>
      <c r="AU135" s="45" t="n">
        <v>553.68</v>
      </c>
      <c r="AV135" s="45"/>
      <c r="AW135" s="39" t="n">
        <v>82</v>
      </c>
      <c r="AX135" s="39" t="n">
        <v>56.8</v>
      </c>
      <c r="AY135" s="39" t="n">
        <v>42.9</v>
      </c>
      <c r="AZ135" s="39" t="n">
        <v>54</v>
      </c>
      <c r="BA135" s="39" t="n">
        <v>0</v>
      </c>
      <c r="BB135" s="39" t="n">
        <v>2</v>
      </c>
      <c r="BC135" s="8" t="s">
        <v>618</v>
      </c>
      <c r="BD135" s="47" t="s">
        <v>451</v>
      </c>
      <c r="BE135" s="41" t="s">
        <v>619</v>
      </c>
    </row>
    <row r="136" customFormat="false" ht="15" hidden="false" customHeight="false" outlineLevel="0" collapsed="false">
      <c r="A136" s="33" t="n">
        <f aca="false">RANK(B136,$B$5:$B$266)</f>
        <v>132</v>
      </c>
      <c r="B136" s="34" t="n">
        <f aca="false">ROUND((AW136*'Scoring Weights'!$B$5+AX136*'Scoring Weights'!$B$6+AY136*'Scoring Weights'!$B$7+BA136*'Scoring Weights'!$B$8+AZ136*'Scoring Weights'!$B$9+BB136*'Scoring Weights'!$B$10)/MAX('Scoring Weights'!$B$11,1),1)</f>
        <v>49.1</v>
      </c>
      <c r="C136" s="35" t="str">
        <f aca="false">IF(AND(H136&lt;='Search Criteria'!$B$5,D136&gt;='Search Criteria'!$B$6,AQ136&lt;='Search Criteria'!$B$7,I136&lt;=INDEX('Search Criteria'!$B$18:$B$20,MATCH(E136,'Search Criteria'!$A$18:$A$20,0)),OR(NOT('Search Criteria'!$B$8),L136&lt;&gt;"FWD"),OR(NOT('Search Criteria'!$B$9),T136="Yes"),OR(NOT('Search Criteria'!$B$10),W136&gt;0),OR(NOT('Search Criteria'!$B$11),X136="Yes"),OR(NOT('Search Criteria'!$B$12),O136="GREAT",O136="GOOD"),OR(NOT('Search Criteria'!$B$13),K136="Yes")),"YES","no")</f>
        <v>no</v>
      </c>
      <c r="D136" s="33" t="n">
        <v>2023</v>
      </c>
      <c r="E136" s="8" t="s">
        <v>92</v>
      </c>
      <c r="F136" s="8" t="s">
        <v>235</v>
      </c>
      <c r="G136" s="8" t="s">
        <v>575</v>
      </c>
      <c r="H136" s="45" t="n">
        <v>34061</v>
      </c>
      <c r="I136" s="46" t="n">
        <v>66118</v>
      </c>
      <c r="J136" s="37" t="n">
        <f aca="false">IFERROR(ROUND(I136/MAX(2026-D136,0.5),0),"")</f>
        <v>22039</v>
      </c>
      <c r="K136" s="35" t="s">
        <v>259</v>
      </c>
      <c r="L136" s="35" t="s">
        <v>576</v>
      </c>
      <c r="M136" s="35" t="s">
        <v>257</v>
      </c>
      <c r="N136" s="33" t="n">
        <v>17</v>
      </c>
      <c r="O136" s="35" t="s">
        <v>276</v>
      </c>
      <c r="P136" s="45"/>
      <c r="Q136" s="38"/>
      <c r="R136" s="35" t="s">
        <v>258</v>
      </c>
      <c r="S136" s="45" t="n">
        <v>170</v>
      </c>
      <c r="T136" s="35" t="s">
        <v>255</v>
      </c>
      <c r="U136" s="33" t="n">
        <v>1</v>
      </c>
      <c r="V136" s="35" t="s">
        <v>255</v>
      </c>
      <c r="W136" s="33" t="n">
        <v>18</v>
      </c>
      <c r="X136" s="35" t="s">
        <v>259</v>
      </c>
      <c r="Y136" s="35" t="s">
        <v>255</v>
      </c>
      <c r="Z136" s="35" t="s">
        <v>259</v>
      </c>
      <c r="AA136" s="35" t="s">
        <v>259</v>
      </c>
      <c r="AB136" s="35" t="s">
        <v>255</v>
      </c>
      <c r="AC136" s="35" t="s">
        <v>259</v>
      </c>
      <c r="AD136" s="35" t="s">
        <v>259</v>
      </c>
      <c r="AE136" s="35" t="s">
        <v>259</v>
      </c>
      <c r="AF136" s="35" t="s">
        <v>255</v>
      </c>
      <c r="AG136" s="35" t="s">
        <v>259</v>
      </c>
      <c r="AH136" s="35" t="s">
        <v>259</v>
      </c>
      <c r="AI136" s="35" t="s">
        <v>255</v>
      </c>
      <c r="AJ136" s="35" t="s">
        <v>259</v>
      </c>
      <c r="AK136" s="8" t="s">
        <v>309</v>
      </c>
      <c r="AL136" s="8" t="s">
        <v>260</v>
      </c>
      <c r="AM136" s="8" t="s">
        <v>477</v>
      </c>
      <c r="AN136" s="8" t="s">
        <v>378</v>
      </c>
      <c r="AO136" s="8" t="s">
        <v>379</v>
      </c>
      <c r="AP136" s="35" t="s">
        <v>265</v>
      </c>
      <c r="AQ136" s="39" t="n">
        <v>46.9</v>
      </c>
      <c r="AR136" s="39" t="n">
        <v>4.7</v>
      </c>
      <c r="AS136" s="33" t="n">
        <v>51</v>
      </c>
      <c r="AT136" s="45" t="n">
        <v>-1084</v>
      </c>
      <c r="AU136" s="45" t="n">
        <v>608.45</v>
      </c>
      <c r="AV136" s="45" t="n">
        <v>261</v>
      </c>
      <c r="AW136" s="39" t="n">
        <v>100</v>
      </c>
      <c r="AX136" s="39" t="n">
        <v>62</v>
      </c>
      <c r="AY136" s="39" t="n">
        <v>23.7</v>
      </c>
      <c r="AZ136" s="39" t="n">
        <v>24</v>
      </c>
      <c r="BA136" s="39" t="n">
        <v>0</v>
      </c>
      <c r="BB136" s="39" t="n">
        <v>37.5</v>
      </c>
      <c r="BC136" s="8" t="s">
        <v>620</v>
      </c>
      <c r="BD136" s="47" t="s">
        <v>578</v>
      </c>
      <c r="BE136" s="41" t="s">
        <v>621</v>
      </c>
    </row>
    <row r="137" customFormat="false" ht="15" hidden="false" customHeight="false" outlineLevel="0" collapsed="false">
      <c r="A137" s="33" t="n">
        <f aca="false">RANK(B137,$B$5:$B$266)</f>
        <v>132</v>
      </c>
      <c r="B137" s="34" t="n">
        <f aca="false">ROUND((AW137*'Scoring Weights'!$B$5+AX137*'Scoring Weights'!$B$6+AY137*'Scoring Weights'!$B$7+BA137*'Scoring Weights'!$B$8+AZ137*'Scoring Weights'!$B$9+BB137*'Scoring Weights'!$B$10)/MAX('Scoring Weights'!$B$11,1),1)</f>
        <v>49.1</v>
      </c>
      <c r="C137" s="35" t="str">
        <f aca="false">IF(AND(H137&lt;='Search Criteria'!$B$5,D137&gt;='Search Criteria'!$B$6,AQ137&lt;='Search Criteria'!$B$7,I137&lt;=INDEX('Search Criteria'!$B$18:$B$20,MATCH(E137,'Search Criteria'!$A$18:$A$20,0)),OR(NOT('Search Criteria'!$B$8),L137&lt;&gt;"FWD"),OR(NOT('Search Criteria'!$B$9),T137="Yes"),OR(NOT('Search Criteria'!$B$10),W137&gt;0),OR(NOT('Search Criteria'!$B$11),X137="Yes"),OR(NOT('Search Criteria'!$B$12),O137="GREAT",O137="GOOD"),OR(NOT('Search Criteria'!$B$13),K137="Yes")),"YES","no")</f>
        <v>no</v>
      </c>
      <c r="D137" s="33" t="n">
        <v>2025</v>
      </c>
      <c r="E137" s="8" t="s">
        <v>92</v>
      </c>
      <c r="F137" s="8" t="s">
        <v>236</v>
      </c>
      <c r="G137" s="8" t="s">
        <v>296</v>
      </c>
      <c r="H137" s="45" t="n">
        <v>32259</v>
      </c>
      <c r="I137" s="46" t="n">
        <v>30357</v>
      </c>
      <c r="J137" s="37" t="n">
        <f aca="false">IFERROR(ROUND(I137/MAX(2026-D137,0.5),0),"")</f>
        <v>30357</v>
      </c>
      <c r="K137" s="35" t="s">
        <v>259</v>
      </c>
      <c r="L137" s="35" t="s">
        <v>285</v>
      </c>
      <c r="M137" s="35" t="s">
        <v>257</v>
      </c>
      <c r="N137" s="33" t="n">
        <v>30</v>
      </c>
      <c r="O137" s="35" t="s">
        <v>297</v>
      </c>
      <c r="P137" s="45" t="n">
        <v>34748</v>
      </c>
      <c r="Q137" s="38" t="n">
        <v>0.072</v>
      </c>
      <c r="R137" s="35" t="s">
        <v>258</v>
      </c>
      <c r="S137" s="45" t="n">
        <v>290</v>
      </c>
      <c r="T137" s="35" t="s">
        <v>255</v>
      </c>
      <c r="U137" s="33" t="n">
        <v>1</v>
      </c>
      <c r="V137" s="35" t="s">
        <v>259</v>
      </c>
      <c r="W137" s="33" t="n">
        <v>1</v>
      </c>
      <c r="X137" s="35" t="s">
        <v>259</v>
      </c>
      <c r="Y137" s="35" t="s">
        <v>255</v>
      </c>
      <c r="Z137" s="35" t="s">
        <v>259</v>
      </c>
      <c r="AA137" s="35" t="s">
        <v>259</v>
      </c>
      <c r="AB137" s="35" t="s">
        <v>255</v>
      </c>
      <c r="AC137" s="35" t="s">
        <v>259</v>
      </c>
      <c r="AD137" s="35" t="s">
        <v>259</v>
      </c>
      <c r="AE137" s="35" t="s">
        <v>255</v>
      </c>
      <c r="AF137" s="35" t="s">
        <v>259</v>
      </c>
      <c r="AG137" s="35" t="s">
        <v>259</v>
      </c>
      <c r="AH137" s="35" t="s">
        <v>259</v>
      </c>
      <c r="AI137" s="35" t="s">
        <v>255</v>
      </c>
      <c r="AJ137" s="35" t="s">
        <v>259</v>
      </c>
      <c r="AK137" s="8" t="s">
        <v>260</v>
      </c>
      <c r="AL137" s="8" t="s">
        <v>261</v>
      </c>
      <c r="AM137" s="8" t="s">
        <v>278</v>
      </c>
      <c r="AN137" s="8" t="s">
        <v>622</v>
      </c>
      <c r="AO137" s="8" t="s">
        <v>340</v>
      </c>
      <c r="AP137" s="35" t="s">
        <v>265</v>
      </c>
      <c r="AQ137" s="39" t="n">
        <v>60.1</v>
      </c>
      <c r="AR137" s="39" t="n">
        <v>4.3</v>
      </c>
      <c r="AS137" s="33" t="n">
        <v>74</v>
      </c>
      <c r="AT137" s="45"/>
      <c r="AU137" s="45" t="n">
        <v>576.26</v>
      </c>
      <c r="AV137" s="45" t="n">
        <v>261</v>
      </c>
      <c r="AW137" s="39" t="n">
        <v>83.6</v>
      </c>
      <c r="AX137" s="39" t="n">
        <v>63.5</v>
      </c>
      <c r="AY137" s="39" t="n">
        <v>48.8</v>
      </c>
      <c r="AZ137" s="39" t="n">
        <v>26</v>
      </c>
      <c r="BA137" s="39" t="n">
        <v>0</v>
      </c>
      <c r="BB137" s="39" t="n">
        <v>19.8</v>
      </c>
      <c r="BC137" s="8" t="s">
        <v>623</v>
      </c>
      <c r="BD137" s="47" t="s">
        <v>290</v>
      </c>
      <c r="BE137" s="41" t="s">
        <v>624</v>
      </c>
    </row>
    <row r="138" customFormat="false" ht="15" hidden="false" customHeight="false" outlineLevel="0" collapsed="false">
      <c r="A138" s="33" t="n">
        <f aca="false">RANK(B138,$B$5:$B$266)</f>
        <v>132</v>
      </c>
      <c r="B138" s="34" t="n">
        <f aca="false">ROUND((AW138*'Scoring Weights'!$B$5+AX138*'Scoring Weights'!$B$6+AY138*'Scoring Weights'!$B$7+BA138*'Scoring Weights'!$B$8+AZ138*'Scoring Weights'!$B$9+BB138*'Scoring Weights'!$B$10)/MAX('Scoring Weights'!$B$11,1),1)</f>
        <v>49.1</v>
      </c>
      <c r="C138" s="35" t="str">
        <f aca="false">IF(AND(H138&lt;='Search Criteria'!$B$5,D138&gt;='Search Criteria'!$B$6,AQ138&lt;='Search Criteria'!$B$7,I138&lt;=INDEX('Search Criteria'!$B$18:$B$20,MATCH(E138,'Search Criteria'!$A$18:$A$20,0)),OR(NOT('Search Criteria'!$B$8),L138&lt;&gt;"FWD"),OR(NOT('Search Criteria'!$B$9),T138="Yes"),OR(NOT('Search Criteria'!$B$10),W138&gt;0),OR(NOT('Search Criteria'!$B$11),X138="Yes"),OR(NOT('Search Criteria'!$B$12),O138="GREAT",O138="GOOD"),OR(NOT('Search Criteria'!$B$13),K138="Yes")),"YES","no")</f>
        <v>no</v>
      </c>
      <c r="D138" s="33" t="n">
        <v>2025</v>
      </c>
      <c r="E138" s="8" t="s">
        <v>94</v>
      </c>
      <c r="F138" s="8" t="s">
        <v>232</v>
      </c>
      <c r="G138" s="8" t="s">
        <v>268</v>
      </c>
      <c r="H138" s="45" t="n">
        <v>32814</v>
      </c>
      <c r="I138" s="46" t="n">
        <v>28856</v>
      </c>
      <c r="J138" s="37" t="n">
        <f aca="false">IFERROR(ROUND(I138/MAX(2026-D138,0.5),0),"")</f>
        <v>28856</v>
      </c>
      <c r="K138" s="35" t="s">
        <v>259</v>
      </c>
      <c r="L138" s="35" t="s">
        <v>256</v>
      </c>
      <c r="M138" s="35" t="s">
        <v>257</v>
      </c>
      <c r="N138" s="33" t="n">
        <v>28</v>
      </c>
      <c r="O138" s="35" t="s">
        <v>276</v>
      </c>
      <c r="P138" s="45" t="n">
        <v>34051</v>
      </c>
      <c r="Q138" s="38" t="n">
        <v>0.036</v>
      </c>
      <c r="R138" s="35" t="s">
        <v>277</v>
      </c>
      <c r="S138" s="45"/>
      <c r="T138" s="35" t="s">
        <v>255</v>
      </c>
      <c r="U138" s="33" t="n">
        <v>1</v>
      </c>
      <c r="V138" s="35" t="s">
        <v>255</v>
      </c>
      <c r="W138" s="33" t="n">
        <v>3</v>
      </c>
      <c r="X138" s="35" t="s">
        <v>255</v>
      </c>
      <c r="Y138" s="35" t="s">
        <v>255</v>
      </c>
      <c r="Z138" s="35" t="s">
        <v>259</v>
      </c>
      <c r="AA138" s="35" t="s">
        <v>255</v>
      </c>
      <c r="AB138" s="35" t="s">
        <v>255</v>
      </c>
      <c r="AC138" s="35" t="s">
        <v>259</v>
      </c>
      <c r="AD138" s="35" t="s">
        <v>259</v>
      </c>
      <c r="AE138" s="35" t="s">
        <v>259</v>
      </c>
      <c r="AF138" s="35" t="s">
        <v>259</v>
      </c>
      <c r="AG138" s="35" t="s">
        <v>259</v>
      </c>
      <c r="AH138" s="35" t="s">
        <v>259</v>
      </c>
      <c r="AI138" s="35" t="s">
        <v>255</v>
      </c>
      <c r="AJ138" s="35" t="s">
        <v>259</v>
      </c>
      <c r="AK138" s="8" t="s">
        <v>261</v>
      </c>
      <c r="AL138" s="8" t="s">
        <v>358</v>
      </c>
      <c r="AM138" s="8" t="s">
        <v>262</v>
      </c>
      <c r="AN138" s="8" t="s">
        <v>480</v>
      </c>
      <c r="AO138" s="8" t="s">
        <v>271</v>
      </c>
      <c r="AP138" s="35" t="s">
        <v>272</v>
      </c>
      <c r="AQ138" s="39" t="n">
        <v>74.5</v>
      </c>
      <c r="AR138" s="39" t="n">
        <v>4.6</v>
      </c>
      <c r="AS138" s="33" t="n">
        <v>13</v>
      </c>
      <c r="AT138" s="45"/>
      <c r="AU138" s="45" t="n">
        <v>586.18</v>
      </c>
      <c r="AV138" s="45" t="n">
        <v>314</v>
      </c>
      <c r="AW138" s="39" t="n">
        <v>91.6</v>
      </c>
      <c r="AX138" s="39" t="n">
        <v>62</v>
      </c>
      <c r="AY138" s="39" t="n">
        <v>41.1</v>
      </c>
      <c r="AZ138" s="39" t="n">
        <v>30</v>
      </c>
      <c r="BA138" s="39" t="n">
        <v>0</v>
      </c>
      <c r="BB138" s="39" t="n">
        <v>0.7</v>
      </c>
      <c r="BC138" s="8" t="s">
        <v>625</v>
      </c>
      <c r="BD138" s="47" t="s">
        <v>274</v>
      </c>
      <c r="BE138" s="41" t="s">
        <v>626</v>
      </c>
    </row>
    <row r="139" customFormat="false" ht="15" hidden="false" customHeight="false" outlineLevel="0" collapsed="false">
      <c r="A139" s="33" t="n">
        <f aca="false">RANK(B139,$B$5:$B$266)</f>
        <v>132</v>
      </c>
      <c r="B139" s="34" t="n">
        <f aca="false">ROUND((AW139*'Scoring Weights'!$B$5+AX139*'Scoring Weights'!$B$6+AY139*'Scoring Weights'!$B$7+BA139*'Scoring Weights'!$B$8+AZ139*'Scoring Weights'!$B$9+BB139*'Scoring Weights'!$B$10)/MAX('Scoring Weights'!$B$11,1),1)</f>
        <v>49.1</v>
      </c>
      <c r="C139" s="35" t="str">
        <f aca="false">IF(AND(H139&lt;='Search Criteria'!$B$5,D139&gt;='Search Criteria'!$B$6,AQ139&lt;='Search Criteria'!$B$7,I139&lt;=INDEX('Search Criteria'!$B$18:$B$20,MATCH(E139,'Search Criteria'!$A$18:$A$20,0)),OR(NOT('Search Criteria'!$B$8),L139&lt;&gt;"FWD"),OR(NOT('Search Criteria'!$B$9),T139="Yes"),OR(NOT('Search Criteria'!$B$10),W139&gt;0),OR(NOT('Search Criteria'!$B$11),X139="Yes"),OR(NOT('Search Criteria'!$B$12),O139="GREAT",O139="GOOD"),OR(NOT('Search Criteria'!$B$13),K139="Yes")),"YES","no")</f>
        <v>no</v>
      </c>
      <c r="D139" s="33" t="n">
        <v>2022</v>
      </c>
      <c r="E139" s="8" t="s">
        <v>92</v>
      </c>
      <c r="F139" s="8" t="s">
        <v>236</v>
      </c>
      <c r="G139" s="8" t="s">
        <v>296</v>
      </c>
      <c r="H139" s="45" t="n">
        <v>30226</v>
      </c>
      <c r="I139" s="46" t="n">
        <v>60592</v>
      </c>
      <c r="J139" s="37" t="n">
        <f aca="false">IFERROR(ROUND(I139/MAX(2026-D139,0.5),0),"")</f>
        <v>15148</v>
      </c>
      <c r="K139" s="35" t="s">
        <v>259</v>
      </c>
      <c r="L139" s="35" t="s">
        <v>256</v>
      </c>
      <c r="M139" s="35" t="s">
        <v>302</v>
      </c>
      <c r="N139" s="33" t="n">
        <v>40</v>
      </c>
      <c r="O139" s="35" t="s">
        <v>297</v>
      </c>
      <c r="P139" s="45" t="n">
        <v>28751</v>
      </c>
      <c r="Q139" s="38" t="n">
        <v>-0.051</v>
      </c>
      <c r="R139" s="35" t="s">
        <v>258</v>
      </c>
      <c r="S139" s="45" t="n">
        <v>390</v>
      </c>
      <c r="T139" s="35" t="s">
        <v>255</v>
      </c>
      <c r="U139" s="33" t="n">
        <v>1</v>
      </c>
      <c r="V139" s="35" t="s">
        <v>259</v>
      </c>
      <c r="W139" s="33" t="n">
        <v>9</v>
      </c>
      <c r="X139" s="35" t="s">
        <v>259</v>
      </c>
      <c r="Y139" s="35" t="s">
        <v>255</v>
      </c>
      <c r="Z139" s="35" t="s">
        <v>259</v>
      </c>
      <c r="AA139" s="35" t="s">
        <v>255</v>
      </c>
      <c r="AB139" s="35" t="s">
        <v>255</v>
      </c>
      <c r="AC139" s="35" t="s">
        <v>255</v>
      </c>
      <c r="AD139" s="35" t="s">
        <v>259</v>
      </c>
      <c r="AE139" s="35" t="s">
        <v>259</v>
      </c>
      <c r="AF139" s="35" t="s">
        <v>259</v>
      </c>
      <c r="AG139" s="35" t="s">
        <v>259</v>
      </c>
      <c r="AH139" s="35" t="s">
        <v>259</v>
      </c>
      <c r="AI139" s="35" t="s">
        <v>255</v>
      </c>
      <c r="AJ139" s="35" t="s">
        <v>259</v>
      </c>
      <c r="AK139" s="8" t="s">
        <v>292</v>
      </c>
      <c r="AL139" s="8" t="s">
        <v>260</v>
      </c>
      <c r="AM139" s="8" t="s">
        <v>278</v>
      </c>
      <c r="AN139" s="8" t="s">
        <v>415</v>
      </c>
      <c r="AO139" s="8" t="s">
        <v>416</v>
      </c>
      <c r="AP139" s="35" t="s">
        <v>272</v>
      </c>
      <c r="AQ139" s="39" t="n">
        <v>33.3</v>
      </c>
      <c r="AR139" s="39" t="n">
        <v>4.1</v>
      </c>
      <c r="AS139" s="33" t="n">
        <v>51</v>
      </c>
      <c r="AT139" s="45"/>
      <c r="AU139" s="45" t="n">
        <v>539.94</v>
      </c>
      <c r="AV139" s="45" t="n">
        <v>230</v>
      </c>
      <c r="AW139" s="39" t="n">
        <v>93.2</v>
      </c>
      <c r="AX139" s="39" t="n">
        <v>45.1</v>
      </c>
      <c r="AY139" s="39" t="n">
        <v>34.7</v>
      </c>
      <c r="AZ139" s="39" t="n">
        <v>42</v>
      </c>
      <c r="BA139" s="39" t="n">
        <v>0</v>
      </c>
      <c r="BB139" s="39" t="n">
        <v>55.7</v>
      </c>
      <c r="BC139" s="8" t="s">
        <v>627</v>
      </c>
      <c r="BD139" s="47" t="s">
        <v>365</v>
      </c>
      <c r="BE139" s="41" t="s">
        <v>628</v>
      </c>
    </row>
    <row r="140" customFormat="false" ht="15" hidden="false" customHeight="false" outlineLevel="0" collapsed="false">
      <c r="A140" s="33" t="n">
        <f aca="false">RANK(B140,$B$5:$B$266)</f>
        <v>136</v>
      </c>
      <c r="B140" s="34" t="n">
        <f aca="false">ROUND((AW140*'Scoring Weights'!$B$5+AX140*'Scoring Weights'!$B$6+AY140*'Scoring Weights'!$B$7+BA140*'Scoring Weights'!$B$8+AZ140*'Scoring Weights'!$B$9+BB140*'Scoring Weights'!$B$10)/MAX('Scoring Weights'!$B$11,1),1)</f>
        <v>49</v>
      </c>
      <c r="C140" s="35" t="str">
        <f aca="false">IF(AND(H140&lt;='Search Criteria'!$B$5,D140&gt;='Search Criteria'!$B$6,AQ140&lt;='Search Criteria'!$B$7,I140&lt;=INDEX('Search Criteria'!$B$18:$B$20,MATCH(E140,'Search Criteria'!$A$18:$A$20,0)),OR(NOT('Search Criteria'!$B$8),L140&lt;&gt;"FWD"),OR(NOT('Search Criteria'!$B$9),T140="Yes"),OR(NOT('Search Criteria'!$B$10),W140&gt;0),OR(NOT('Search Criteria'!$B$11),X140="Yes"),OR(NOT('Search Criteria'!$B$12),O140="GREAT",O140="GOOD"),OR(NOT('Search Criteria'!$B$13),K140="Yes")),"YES","no")</f>
        <v>no</v>
      </c>
      <c r="D140" s="33" t="n">
        <v>2024</v>
      </c>
      <c r="E140" s="8" t="s">
        <v>92</v>
      </c>
      <c r="F140" s="8" t="s">
        <v>236</v>
      </c>
      <c r="G140" s="8" t="s">
        <v>296</v>
      </c>
      <c r="H140" s="45" t="n">
        <v>29313</v>
      </c>
      <c r="I140" s="46" t="n">
        <v>74190</v>
      </c>
      <c r="J140" s="37" t="n">
        <f aca="false">IFERROR(ROUND(I140/MAX(2026-D140,0.5),0),"")</f>
        <v>37095</v>
      </c>
      <c r="K140" s="35" t="s">
        <v>259</v>
      </c>
      <c r="L140" s="35" t="s">
        <v>256</v>
      </c>
      <c r="M140" s="35" t="s">
        <v>302</v>
      </c>
      <c r="N140" s="33" t="n">
        <v>39</v>
      </c>
      <c r="O140" s="35" t="s">
        <v>286</v>
      </c>
      <c r="P140" s="45" t="n">
        <v>30054</v>
      </c>
      <c r="Q140" s="38" t="n">
        <v>0.025</v>
      </c>
      <c r="R140" s="35" t="s">
        <v>258</v>
      </c>
      <c r="S140" s="45" t="n">
        <v>240</v>
      </c>
      <c r="T140" s="35" t="s">
        <v>259</v>
      </c>
      <c r="U140" s="33" t="n">
        <v>1</v>
      </c>
      <c r="V140" s="35" t="s">
        <v>255</v>
      </c>
      <c r="W140" s="33" t="n">
        <v>20</v>
      </c>
      <c r="X140" s="35" t="s">
        <v>255</v>
      </c>
      <c r="Y140" s="35" t="s">
        <v>255</v>
      </c>
      <c r="Z140" s="35" t="s">
        <v>255</v>
      </c>
      <c r="AA140" s="35" t="s">
        <v>255</v>
      </c>
      <c r="AB140" s="35" t="s">
        <v>255</v>
      </c>
      <c r="AC140" s="35" t="s">
        <v>255</v>
      </c>
      <c r="AD140" s="35" t="s">
        <v>259</v>
      </c>
      <c r="AE140" s="35" t="s">
        <v>259</v>
      </c>
      <c r="AF140" s="35" t="s">
        <v>259</v>
      </c>
      <c r="AG140" s="35" t="s">
        <v>259</v>
      </c>
      <c r="AH140" s="35" t="s">
        <v>259</v>
      </c>
      <c r="AI140" s="35" t="s">
        <v>255</v>
      </c>
      <c r="AJ140" s="35" t="s">
        <v>259</v>
      </c>
      <c r="AK140" s="8" t="s">
        <v>261</v>
      </c>
      <c r="AL140" s="8" t="s">
        <v>261</v>
      </c>
      <c r="AM140" s="8" t="s">
        <v>278</v>
      </c>
      <c r="AN140" s="8" t="s">
        <v>533</v>
      </c>
      <c r="AO140" s="8" t="s">
        <v>506</v>
      </c>
      <c r="AP140" s="35" t="s">
        <v>272</v>
      </c>
      <c r="AQ140" s="39" t="n">
        <v>52.6</v>
      </c>
      <c r="AR140" s="39" t="n">
        <v>4.5</v>
      </c>
      <c r="AS140" s="33" t="n">
        <v>20</v>
      </c>
      <c r="AT140" s="45"/>
      <c r="AU140" s="45" t="n">
        <v>523.63</v>
      </c>
      <c r="AV140" s="45" t="n">
        <v>314</v>
      </c>
      <c r="AW140" s="39" t="n">
        <v>83.9</v>
      </c>
      <c r="AX140" s="39" t="n">
        <v>69.1</v>
      </c>
      <c r="AY140" s="39" t="n">
        <v>18.1</v>
      </c>
      <c r="AZ140" s="39" t="n">
        <v>52</v>
      </c>
      <c r="BA140" s="39" t="n">
        <v>0</v>
      </c>
      <c r="BB140" s="39" t="n">
        <v>29.9</v>
      </c>
      <c r="BC140" s="8" t="s">
        <v>629</v>
      </c>
      <c r="BD140" s="47" t="s">
        <v>346</v>
      </c>
      <c r="BE140" s="41" t="s">
        <v>630</v>
      </c>
    </row>
    <row r="141" customFormat="false" ht="15" hidden="false" customHeight="false" outlineLevel="0" collapsed="false">
      <c r="A141" s="33" t="n">
        <f aca="false">RANK(B141,$B$5:$B$266)</f>
        <v>136</v>
      </c>
      <c r="B141" s="34" t="n">
        <f aca="false">ROUND((AW141*'Scoring Weights'!$B$5+AX141*'Scoring Weights'!$B$6+AY141*'Scoring Weights'!$B$7+BA141*'Scoring Weights'!$B$8+AZ141*'Scoring Weights'!$B$9+BB141*'Scoring Weights'!$B$10)/MAX('Scoring Weights'!$B$11,1),1)</f>
        <v>49</v>
      </c>
      <c r="C141" s="35" t="str">
        <f aca="false">IF(AND(H141&lt;='Search Criteria'!$B$5,D141&gt;='Search Criteria'!$B$6,AQ141&lt;='Search Criteria'!$B$7,I141&lt;=INDEX('Search Criteria'!$B$18:$B$20,MATCH(E141,'Search Criteria'!$A$18:$A$20,0)),OR(NOT('Search Criteria'!$B$8),L141&lt;&gt;"FWD"),OR(NOT('Search Criteria'!$B$9),T141="Yes"),OR(NOT('Search Criteria'!$B$10),W141&gt;0),OR(NOT('Search Criteria'!$B$11),X141="Yes"),OR(NOT('Search Criteria'!$B$12),O141="GREAT",O141="GOOD"),OR(NOT('Search Criteria'!$B$13),K141="Yes")),"YES","no")</f>
        <v>no</v>
      </c>
      <c r="D141" s="33" t="n">
        <v>2023</v>
      </c>
      <c r="E141" s="8" t="s">
        <v>95</v>
      </c>
      <c r="F141" s="8" t="s">
        <v>234</v>
      </c>
      <c r="G141" s="8" t="s">
        <v>275</v>
      </c>
      <c r="H141" s="45" t="n">
        <v>25238</v>
      </c>
      <c r="I141" s="46" t="n">
        <v>62072</v>
      </c>
      <c r="J141" s="37" t="n">
        <f aca="false">IFERROR(ROUND(I141/MAX(2026-D141,0.5),0),"")</f>
        <v>20691</v>
      </c>
      <c r="K141" s="35" t="s">
        <v>259</v>
      </c>
      <c r="L141" s="35" t="s">
        <v>256</v>
      </c>
      <c r="M141" s="35" t="s">
        <v>257</v>
      </c>
      <c r="N141" s="33" t="n">
        <v>28</v>
      </c>
      <c r="O141" s="35" t="s">
        <v>286</v>
      </c>
      <c r="P141" s="45" t="n">
        <v>24487</v>
      </c>
      <c r="Q141" s="38" t="n">
        <v>-0.031</v>
      </c>
      <c r="R141" s="35" t="s">
        <v>277</v>
      </c>
      <c r="S141" s="45"/>
      <c r="T141" s="35" t="s">
        <v>255</v>
      </c>
      <c r="U141" s="33" t="n">
        <v>1</v>
      </c>
      <c r="V141" s="35" t="s">
        <v>255</v>
      </c>
      <c r="W141" s="33" t="n">
        <v>14</v>
      </c>
      <c r="X141" s="35" t="s">
        <v>255</v>
      </c>
      <c r="Y141" s="35" t="s">
        <v>255</v>
      </c>
      <c r="Z141" s="35" t="s">
        <v>255</v>
      </c>
      <c r="AA141" s="35" t="s">
        <v>255</v>
      </c>
      <c r="AB141" s="35" t="s">
        <v>255</v>
      </c>
      <c r="AC141" s="35" t="s">
        <v>255</v>
      </c>
      <c r="AD141" s="35" t="s">
        <v>255</v>
      </c>
      <c r="AE141" s="35" t="s">
        <v>259</v>
      </c>
      <c r="AF141" s="35" t="s">
        <v>255</v>
      </c>
      <c r="AG141" s="35" t="s">
        <v>259</v>
      </c>
      <c r="AH141" s="35" t="s">
        <v>255</v>
      </c>
      <c r="AI141" s="35" t="s">
        <v>255</v>
      </c>
      <c r="AJ141" s="35" t="s">
        <v>255</v>
      </c>
      <c r="AK141" s="8" t="s">
        <v>260</v>
      </c>
      <c r="AL141" s="8" t="s">
        <v>261</v>
      </c>
      <c r="AM141" s="8" t="s">
        <v>278</v>
      </c>
      <c r="AN141" s="8" t="s">
        <v>378</v>
      </c>
      <c r="AO141" s="8" t="s">
        <v>379</v>
      </c>
      <c r="AP141" s="35" t="s">
        <v>265</v>
      </c>
      <c r="AQ141" s="39" t="n">
        <v>46.9</v>
      </c>
      <c r="AR141" s="39" t="n">
        <v>4.7</v>
      </c>
      <c r="AS141" s="33" t="n">
        <v>79</v>
      </c>
      <c r="AT141" s="45"/>
      <c r="AU141" s="45" t="n">
        <v>450.84</v>
      </c>
      <c r="AV141" s="45" t="n">
        <v>261</v>
      </c>
      <c r="AW141" s="39" t="n">
        <v>85.7</v>
      </c>
      <c r="AX141" s="39" t="n">
        <v>60.8</v>
      </c>
      <c r="AY141" s="39" t="n">
        <v>0</v>
      </c>
      <c r="AZ141" s="39" t="n">
        <v>82</v>
      </c>
      <c r="BA141" s="39" t="n">
        <v>0</v>
      </c>
      <c r="BB141" s="39" t="n">
        <v>37.5</v>
      </c>
      <c r="BC141" s="8" t="s">
        <v>631</v>
      </c>
      <c r="BD141" s="47" t="s">
        <v>632</v>
      </c>
      <c r="BE141" s="41" t="s">
        <v>633</v>
      </c>
    </row>
    <row r="142" customFormat="false" ht="15" hidden="false" customHeight="false" outlineLevel="0" collapsed="false">
      <c r="A142" s="33" t="n">
        <f aca="false">RANK(B142,$B$5:$B$266)</f>
        <v>136</v>
      </c>
      <c r="B142" s="34" t="n">
        <f aca="false">ROUND((AW142*'Scoring Weights'!$B$5+AX142*'Scoring Weights'!$B$6+AY142*'Scoring Weights'!$B$7+BA142*'Scoring Weights'!$B$8+AZ142*'Scoring Weights'!$B$9+BB142*'Scoring Weights'!$B$10)/MAX('Scoring Weights'!$B$11,1),1)</f>
        <v>49</v>
      </c>
      <c r="C142" s="35" t="str">
        <f aca="false">IF(AND(H142&lt;='Search Criteria'!$B$5,D142&gt;='Search Criteria'!$B$6,AQ142&lt;='Search Criteria'!$B$7,I142&lt;=INDEX('Search Criteria'!$B$18:$B$20,MATCH(E142,'Search Criteria'!$A$18:$A$20,0)),OR(NOT('Search Criteria'!$B$8),L142&lt;&gt;"FWD"),OR(NOT('Search Criteria'!$B$9),T142="Yes"),OR(NOT('Search Criteria'!$B$10),W142&gt;0),OR(NOT('Search Criteria'!$B$11),X142="Yes"),OR(NOT('Search Criteria'!$B$12),O142="GREAT",O142="GOOD"),OR(NOT('Search Criteria'!$B$13),K142="Yes")),"YES","no")</f>
        <v>no</v>
      </c>
      <c r="D142" s="33" t="n">
        <v>2024</v>
      </c>
      <c r="E142" s="8" t="s">
        <v>92</v>
      </c>
      <c r="F142" s="8" t="s">
        <v>236</v>
      </c>
      <c r="G142" s="8" t="s">
        <v>296</v>
      </c>
      <c r="H142" s="45" t="n">
        <v>31029</v>
      </c>
      <c r="I142" s="46" t="n">
        <v>51938</v>
      </c>
      <c r="J142" s="37" t="n">
        <f aca="false">IFERROR(ROUND(I142/MAX(2026-D142,0.5),0),"")</f>
        <v>25969</v>
      </c>
      <c r="K142" s="35" t="s">
        <v>259</v>
      </c>
      <c r="L142" s="35" t="s">
        <v>256</v>
      </c>
      <c r="M142" s="35" t="s">
        <v>257</v>
      </c>
      <c r="N142" s="33" t="n">
        <v>28</v>
      </c>
      <c r="O142" s="35" t="s">
        <v>276</v>
      </c>
      <c r="P142" s="45" t="n">
        <v>31831</v>
      </c>
      <c r="Q142" s="38" t="n">
        <v>0.025</v>
      </c>
      <c r="R142" s="35" t="s">
        <v>258</v>
      </c>
      <c r="S142" s="45" t="n">
        <v>310</v>
      </c>
      <c r="T142" s="35" t="s">
        <v>255</v>
      </c>
      <c r="U142" s="33" t="n">
        <v>1</v>
      </c>
      <c r="V142" s="35" t="s">
        <v>259</v>
      </c>
      <c r="W142" s="33" t="n">
        <v>2</v>
      </c>
      <c r="X142" s="35" t="s">
        <v>255</v>
      </c>
      <c r="Y142" s="35" t="s">
        <v>255</v>
      </c>
      <c r="Z142" s="35" t="s">
        <v>255</v>
      </c>
      <c r="AA142" s="35" t="s">
        <v>259</v>
      </c>
      <c r="AB142" s="35" t="s">
        <v>255</v>
      </c>
      <c r="AC142" s="35" t="s">
        <v>259</v>
      </c>
      <c r="AD142" s="35" t="s">
        <v>259</v>
      </c>
      <c r="AE142" s="35" t="s">
        <v>259</v>
      </c>
      <c r="AF142" s="35" t="s">
        <v>259</v>
      </c>
      <c r="AG142" s="35" t="s">
        <v>259</v>
      </c>
      <c r="AH142" s="35" t="s">
        <v>259</v>
      </c>
      <c r="AI142" s="35" t="s">
        <v>255</v>
      </c>
      <c r="AJ142" s="35" t="s">
        <v>259</v>
      </c>
      <c r="AK142" s="8" t="s">
        <v>269</v>
      </c>
      <c r="AL142" s="8" t="s">
        <v>261</v>
      </c>
      <c r="AM142" s="8" t="s">
        <v>278</v>
      </c>
      <c r="AN142" s="8" t="s">
        <v>594</v>
      </c>
      <c r="AO142" s="8" t="s">
        <v>448</v>
      </c>
      <c r="AP142" s="35" t="s">
        <v>265</v>
      </c>
      <c r="AQ142" s="39" t="n">
        <v>16</v>
      </c>
      <c r="AR142" s="39" t="n">
        <v>4.5</v>
      </c>
      <c r="AS142" s="33" t="n">
        <v>53</v>
      </c>
      <c r="AT142" s="45" t="n">
        <v>1971</v>
      </c>
      <c r="AU142" s="45" t="n">
        <v>554.29</v>
      </c>
      <c r="AV142" s="45"/>
      <c r="AW142" s="39" t="n">
        <v>84.8</v>
      </c>
      <c r="AX142" s="39" t="n">
        <v>60.4</v>
      </c>
      <c r="AY142" s="39" t="n">
        <v>33.6</v>
      </c>
      <c r="AZ142" s="39" t="n">
        <v>26</v>
      </c>
      <c r="BA142" s="39" t="n">
        <v>0</v>
      </c>
      <c r="BB142" s="39" t="n">
        <v>78.7</v>
      </c>
      <c r="BC142" s="8" t="s">
        <v>634</v>
      </c>
      <c r="BD142" s="47" t="s">
        <v>346</v>
      </c>
      <c r="BE142" s="41" t="s">
        <v>635</v>
      </c>
    </row>
    <row r="143" customFormat="false" ht="15" hidden="false" customHeight="false" outlineLevel="0" collapsed="false">
      <c r="A143" s="33" t="n">
        <f aca="false">RANK(B143,$B$5:$B$266)</f>
        <v>139</v>
      </c>
      <c r="B143" s="34" t="n">
        <f aca="false">ROUND((AW143*'Scoring Weights'!$B$5+AX143*'Scoring Weights'!$B$6+AY143*'Scoring Weights'!$B$7+BA143*'Scoring Weights'!$B$8+AZ143*'Scoring Weights'!$B$9+BB143*'Scoring Weights'!$B$10)/MAX('Scoring Weights'!$B$11,1),1)</f>
        <v>48.7</v>
      </c>
      <c r="C143" s="35" t="str">
        <f aca="false">IF(AND(H143&lt;='Search Criteria'!$B$5,D143&gt;='Search Criteria'!$B$6,AQ143&lt;='Search Criteria'!$B$7,I143&lt;=INDEX('Search Criteria'!$B$18:$B$20,MATCH(E143,'Search Criteria'!$A$18:$A$20,0)),OR(NOT('Search Criteria'!$B$8),L143&lt;&gt;"FWD"),OR(NOT('Search Criteria'!$B$9),T143="Yes"),OR(NOT('Search Criteria'!$B$10),W143&gt;0),OR(NOT('Search Criteria'!$B$11),X143="Yes"),OR(NOT('Search Criteria'!$B$12),O143="GREAT",O143="GOOD"),OR(NOT('Search Criteria'!$B$13),K143="Yes")),"YES","no")</f>
        <v>no</v>
      </c>
      <c r="D143" s="33" t="n">
        <v>2022</v>
      </c>
      <c r="E143" s="8" t="s">
        <v>92</v>
      </c>
      <c r="F143" s="8" t="s">
        <v>236</v>
      </c>
      <c r="G143" s="8" t="s">
        <v>338</v>
      </c>
      <c r="H143" s="45" t="n">
        <v>23233</v>
      </c>
      <c r="I143" s="46" t="n">
        <v>89880</v>
      </c>
      <c r="J143" s="37" t="n">
        <f aca="false">IFERROR(ROUND(I143/MAX(2026-D143,0.5),0),"")</f>
        <v>22470</v>
      </c>
      <c r="K143" s="35" t="s">
        <v>259</v>
      </c>
      <c r="L143" s="35" t="s">
        <v>285</v>
      </c>
      <c r="M143" s="35" t="s">
        <v>257</v>
      </c>
      <c r="N143" s="33" t="n">
        <v>30</v>
      </c>
      <c r="O143" s="35" t="s">
        <v>286</v>
      </c>
      <c r="P143" s="45" t="n">
        <v>26413</v>
      </c>
      <c r="Q143" s="38" t="n">
        <v>0.12</v>
      </c>
      <c r="R143" s="35" t="s">
        <v>258</v>
      </c>
      <c r="S143" s="45" t="n">
        <v>100</v>
      </c>
      <c r="T143" s="35" t="s">
        <v>255</v>
      </c>
      <c r="U143" s="33" t="n">
        <v>1</v>
      </c>
      <c r="V143" s="35" t="s">
        <v>259</v>
      </c>
      <c r="W143" s="33" t="n">
        <v>22</v>
      </c>
      <c r="X143" s="35" t="s">
        <v>259</v>
      </c>
      <c r="Y143" s="35" t="s">
        <v>255</v>
      </c>
      <c r="Z143" s="35" t="s">
        <v>259</v>
      </c>
      <c r="AA143" s="35" t="s">
        <v>259</v>
      </c>
      <c r="AB143" s="35" t="s">
        <v>255</v>
      </c>
      <c r="AC143" s="35" t="s">
        <v>259</v>
      </c>
      <c r="AD143" s="35" t="s">
        <v>259</v>
      </c>
      <c r="AE143" s="35" t="s">
        <v>259</v>
      </c>
      <c r="AF143" s="35" t="s">
        <v>259</v>
      </c>
      <c r="AG143" s="35" t="s">
        <v>259</v>
      </c>
      <c r="AH143" s="35" t="s">
        <v>259</v>
      </c>
      <c r="AI143" s="35" t="s">
        <v>259</v>
      </c>
      <c r="AJ143" s="35" t="s">
        <v>259</v>
      </c>
      <c r="AK143" s="8" t="s">
        <v>292</v>
      </c>
      <c r="AL143" s="8" t="s">
        <v>261</v>
      </c>
      <c r="AM143" s="8" t="s">
        <v>278</v>
      </c>
      <c r="AN143" s="8" t="s">
        <v>375</v>
      </c>
      <c r="AO143" s="8" t="s">
        <v>376</v>
      </c>
      <c r="AP143" s="35" t="s">
        <v>265</v>
      </c>
      <c r="AQ143" s="39" t="n">
        <v>31.9</v>
      </c>
      <c r="AR143" s="39" t="n">
        <v>4.6</v>
      </c>
      <c r="AS143" s="33" t="n">
        <v>3</v>
      </c>
      <c r="AT143" s="45"/>
      <c r="AU143" s="45" t="n">
        <v>415.02</v>
      </c>
      <c r="AV143" s="45" t="n">
        <v>235</v>
      </c>
      <c r="AW143" s="39" t="n">
        <v>94.4</v>
      </c>
      <c r="AX143" s="39" t="n">
        <v>83.5</v>
      </c>
      <c r="AY143" s="39" t="n">
        <v>7.1</v>
      </c>
      <c r="AZ143" s="39" t="n">
        <v>12</v>
      </c>
      <c r="BA143" s="39" t="n">
        <v>0</v>
      </c>
      <c r="BB143" s="39" t="n">
        <v>57.4</v>
      </c>
      <c r="BC143" s="8" t="s">
        <v>636</v>
      </c>
      <c r="BD143" s="47" t="s">
        <v>365</v>
      </c>
      <c r="BE143" s="41" t="s">
        <v>637</v>
      </c>
    </row>
    <row r="144" customFormat="false" ht="15" hidden="false" customHeight="false" outlineLevel="0" collapsed="false">
      <c r="A144" s="33" t="n">
        <f aca="false">RANK(B144,$B$5:$B$266)</f>
        <v>139</v>
      </c>
      <c r="B144" s="34" t="n">
        <f aca="false">ROUND((AW144*'Scoring Weights'!$B$5+AX144*'Scoring Weights'!$B$6+AY144*'Scoring Weights'!$B$7+BA144*'Scoring Weights'!$B$8+AZ144*'Scoring Weights'!$B$9+BB144*'Scoring Weights'!$B$10)/MAX('Scoring Weights'!$B$11,1),1)</f>
        <v>48.7</v>
      </c>
      <c r="C144" s="35" t="str">
        <f aca="false">IF(AND(H144&lt;='Search Criteria'!$B$5,D144&gt;='Search Criteria'!$B$6,AQ144&lt;='Search Criteria'!$B$7,I144&lt;=INDEX('Search Criteria'!$B$18:$B$20,MATCH(E144,'Search Criteria'!$A$18:$A$20,0)),OR(NOT('Search Criteria'!$B$8),L144&lt;&gt;"FWD"),OR(NOT('Search Criteria'!$B$9),T144="Yes"),OR(NOT('Search Criteria'!$B$10),W144&gt;0),OR(NOT('Search Criteria'!$B$11),X144="Yes"),OR(NOT('Search Criteria'!$B$12),O144="GREAT",O144="GOOD"),OR(NOT('Search Criteria'!$B$13),K144="Yes")),"YES","no")</f>
        <v>YES</v>
      </c>
      <c r="D144" s="33" t="n">
        <v>2023</v>
      </c>
      <c r="E144" s="8" t="s">
        <v>95</v>
      </c>
      <c r="F144" s="8" t="s">
        <v>234</v>
      </c>
      <c r="G144" s="8" t="s">
        <v>407</v>
      </c>
      <c r="H144" s="45" t="n">
        <v>25814</v>
      </c>
      <c r="I144" s="46" t="n">
        <v>36225</v>
      </c>
      <c r="J144" s="37" t="n">
        <f aca="false">IFERROR(ROUND(I144/MAX(2026-D144,0.5),0),"")</f>
        <v>12075</v>
      </c>
      <c r="K144" s="35" t="s">
        <v>259</v>
      </c>
      <c r="L144" s="35" t="s">
        <v>256</v>
      </c>
      <c r="M144" s="35" t="s">
        <v>257</v>
      </c>
      <c r="N144" s="33" t="n">
        <v>28</v>
      </c>
      <c r="O144" s="35" t="s">
        <v>286</v>
      </c>
      <c r="P144" s="45" t="n">
        <v>27231</v>
      </c>
      <c r="Q144" s="38" t="n">
        <v>0.052</v>
      </c>
      <c r="R144" s="35" t="s">
        <v>286</v>
      </c>
      <c r="S144" s="45" t="n">
        <v>380</v>
      </c>
      <c r="T144" s="35" t="s">
        <v>255</v>
      </c>
      <c r="U144" s="33" t="n">
        <v>1</v>
      </c>
      <c r="V144" s="35" t="s">
        <v>259</v>
      </c>
      <c r="W144" s="33" t="n">
        <v>11</v>
      </c>
      <c r="X144" s="35" t="s">
        <v>255</v>
      </c>
      <c r="Y144" s="35" t="s">
        <v>255</v>
      </c>
      <c r="Z144" s="35" t="s">
        <v>259</v>
      </c>
      <c r="AA144" s="35" t="s">
        <v>259</v>
      </c>
      <c r="AB144" s="35" t="s">
        <v>255</v>
      </c>
      <c r="AC144" s="35" t="s">
        <v>255</v>
      </c>
      <c r="AD144" s="35" t="s">
        <v>255</v>
      </c>
      <c r="AE144" s="35" t="s">
        <v>259</v>
      </c>
      <c r="AF144" s="35" t="s">
        <v>259</v>
      </c>
      <c r="AG144" s="35" t="s">
        <v>259</v>
      </c>
      <c r="AH144" s="35" t="s">
        <v>259</v>
      </c>
      <c r="AI144" s="35" t="s">
        <v>255</v>
      </c>
      <c r="AJ144" s="35" t="s">
        <v>259</v>
      </c>
      <c r="AK144" s="8" t="s">
        <v>269</v>
      </c>
      <c r="AL144" s="8" t="s">
        <v>260</v>
      </c>
      <c r="AM144" s="8" t="s">
        <v>278</v>
      </c>
      <c r="AN144" s="8" t="s">
        <v>480</v>
      </c>
      <c r="AO144" s="8" t="s">
        <v>271</v>
      </c>
      <c r="AP144" s="35" t="s">
        <v>272</v>
      </c>
      <c r="AQ144" s="39" t="n">
        <v>74.5</v>
      </c>
      <c r="AR144" s="39" t="n">
        <v>4.6</v>
      </c>
      <c r="AS144" s="33" t="n">
        <v>52</v>
      </c>
      <c r="AT144" s="45"/>
      <c r="AU144" s="45" t="n">
        <v>461.13</v>
      </c>
      <c r="AV144" s="45" t="n">
        <v>314</v>
      </c>
      <c r="AW144" s="39" t="n">
        <v>80.1</v>
      </c>
      <c r="AX144" s="39" t="n">
        <v>73.2</v>
      </c>
      <c r="AY144" s="39" t="n">
        <v>34.1</v>
      </c>
      <c r="AZ144" s="39" t="n">
        <v>40</v>
      </c>
      <c r="BA144" s="39" t="n">
        <v>0</v>
      </c>
      <c r="BB144" s="39" t="n">
        <v>0.7</v>
      </c>
      <c r="BC144" s="8" t="s">
        <v>638</v>
      </c>
      <c r="BD144" s="47" t="s">
        <v>632</v>
      </c>
      <c r="BE144" s="41" t="s">
        <v>190</v>
      </c>
    </row>
    <row r="145" customFormat="false" ht="15" hidden="false" customHeight="false" outlineLevel="0" collapsed="false">
      <c r="A145" s="33" t="n">
        <f aca="false">RANK(B145,$B$5:$B$266)</f>
        <v>139</v>
      </c>
      <c r="B145" s="34" t="n">
        <f aca="false">ROUND((AW145*'Scoring Weights'!$B$5+AX145*'Scoring Weights'!$B$6+AY145*'Scoring Weights'!$B$7+BA145*'Scoring Weights'!$B$8+AZ145*'Scoring Weights'!$B$9+BB145*'Scoring Weights'!$B$10)/MAX('Scoring Weights'!$B$11,1),1)</f>
        <v>48.7</v>
      </c>
      <c r="C145" s="35" t="str">
        <f aca="false">IF(AND(H145&lt;='Search Criteria'!$B$5,D145&gt;='Search Criteria'!$B$6,AQ145&lt;='Search Criteria'!$B$7,I145&lt;=INDEX('Search Criteria'!$B$18:$B$20,MATCH(E145,'Search Criteria'!$A$18:$A$20,0)),OR(NOT('Search Criteria'!$B$8),L145&lt;&gt;"FWD"),OR(NOT('Search Criteria'!$B$9),T145="Yes"),OR(NOT('Search Criteria'!$B$10),W145&gt;0),OR(NOT('Search Criteria'!$B$11),X145="Yes"),OR(NOT('Search Criteria'!$B$12),O145="GREAT",O145="GOOD"),OR(NOT('Search Criteria'!$B$13),K145="Yes")),"YES","no")</f>
        <v>no</v>
      </c>
      <c r="D145" s="33" t="n">
        <v>2025</v>
      </c>
      <c r="E145" s="8" t="s">
        <v>92</v>
      </c>
      <c r="F145" s="8" t="s">
        <v>236</v>
      </c>
      <c r="G145" s="8" t="s">
        <v>296</v>
      </c>
      <c r="H145" s="45" t="n">
        <v>33798</v>
      </c>
      <c r="I145" s="46" t="n">
        <v>22502</v>
      </c>
      <c r="J145" s="37" t="n">
        <f aca="false">IFERROR(ROUND(I145/MAX(2026-D145,0.5),0),"")</f>
        <v>22502</v>
      </c>
      <c r="K145" s="35" t="s">
        <v>259</v>
      </c>
      <c r="L145" s="35" t="s">
        <v>256</v>
      </c>
      <c r="M145" s="35" t="s">
        <v>257</v>
      </c>
      <c r="N145" s="33" t="n">
        <v>29</v>
      </c>
      <c r="O145" s="35" t="s">
        <v>276</v>
      </c>
      <c r="P145" s="45" t="n">
        <v>35375</v>
      </c>
      <c r="Q145" s="38" t="n">
        <v>0.045</v>
      </c>
      <c r="R145" s="35" t="s">
        <v>258</v>
      </c>
      <c r="S145" s="45" t="n">
        <v>310</v>
      </c>
      <c r="T145" s="35" t="s">
        <v>255</v>
      </c>
      <c r="U145" s="33" t="n">
        <v>1</v>
      </c>
      <c r="V145" s="35" t="s">
        <v>259</v>
      </c>
      <c r="W145" s="33" t="n">
        <v>1</v>
      </c>
      <c r="X145" s="35" t="s">
        <v>259</v>
      </c>
      <c r="Y145" s="35" t="s">
        <v>255</v>
      </c>
      <c r="Z145" s="35" t="s">
        <v>259</v>
      </c>
      <c r="AA145" s="35" t="s">
        <v>259</v>
      </c>
      <c r="AB145" s="35" t="s">
        <v>255</v>
      </c>
      <c r="AC145" s="35" t="s">
        <v>259</v>
      </c>
      <c r="AD145" s="35" t="s">
        <v>259</v>
      </c>
      <c r="AE145" s="35" t="s">
        <v>259</v>
      </c>
      <c r="AF145" s="35" t="s">
        <v>259</v>
      </c>
      <c r="AG145" s="35" t="s">
        <v>259</v>
      </c>
      <c r="AH145" s="35" t="s">
        <v>259</v>
      </c>
      <c r="AI145" s="35" t="s">
        <v>255</v>
      </c>
      <c r="AJ145" s="35" t="s">
        <v>259</v>
      </c>
      <c r="AK145" s="8" t="s">
        <v>292</v>
      </c>
      <c r="AL145" s="8" t="s">
        <v>261</v>
      </c>
      <c r="AM145" s="8" t="s">
        <v>278</v>
      </c>
      <c r="AN145" s="8" t="s">
        <v>639</v>
      </c>
      <c r="AO145" s="8" t="s">
        <v>340</v>
      </c>
      <c r="AP145" s="35" t="s">
        <v>265</v>
      </c>
      <c r="AQ145" s="39" t="n">
        <v>59.6</v>
      </c>
      <c r="AR145" s="39" t="n">
        <v>4.1</v>
      </c>
      <c r="AS145" s="33" t="n">
        <v>34</v>
      </c>
      <c r="AT145" s="45"/>
      <c r="AU145" s="45" t="n">
        <v>603.75</v>
      </c>
      <c r="AV145" s="45"/>
      <c r="AW145" s="39" t="n">
        <v>83.6</v>
      </c>
      <c r="AX145" s="39" t="n">
        <v>63.3</v>
      </c>
      <c r="AY145" s="39" t="n">
        <v>54.2</v>
      </c>
      <c r="AZ145" s="39" t="n">
        <v>16</v>
      </c>
      <c r="BA145" s="39" t="n">
        <v>0</v>
      </c>
      <c r="BB145" s="39" t="n">
        <v>20.5</v>
      </c>
      <c r="BC145" s="8" t="s">
        <v>640</v>
      </c>
      <c r="BD145" s="47" t="s">
        <v>290</v>
      </c>
      <c r="BE145" s="41" t="s">
        <v>641</v>
      </c>
    </row>
    <row r="146" customFormat="false" ht="15" hidden="false" customHeight="false" outlineLevel="0" collapsed="false">
      <c r="A146" s="33" t="n">
        <f aca="false">RANK(B146,$B$5:$B$266)</f>
        <v>139</v>
      </c>
      <c r="B146" s="34" t="n">
        <f aca="false">ROUND((AW146*'Scoring Weights'!$B$5+AX146*'Scoring Weights'!$B$6+AY146*'Scoring Weights'!$B$7+BA146*'Scoring Weights'!$B$8+AZ146*'Scoring Weights'!$B$9+BB146*'Scoring Weights'!$B$10)/MAX('Scoring Weights'!$B$11,1),1)</f>
        <v>48.7</v>
      </c>
      <c r="C146" s="35" t="str">
        <f aca="false">IF(AND(H146&lt;='Search Criteria'!$B$5,D146&gt;='Search Criteria'!$B$6,AQ146&lt;='Search Criteria'!$B$7,I146&lt;=INDEX('Search Criteria'!$B$18:$B$20,MATCH(E146,'Search Criteria'!$A$18:$A$20,0)),OR(NOT('Search Criteria'!$B$8),L146&lt;&gt;"FWD"),OR(NOT('Search Criteria'!$B$9),T146="Yes"),OR(NOT('Search Criteria'!$B$10),W146&gt;0),OR(NOT('Search Criteria'!$B$11),X146="Yes"),OR(NOT('Search Criteria'!$B$12),O146="GREAT",O146="GOOD"),OR(NOT('Search Criteria'!$B$13),K146="Yes")),"YES","no")</f>
        <v>no</v>
      </c>
      <c r="D146" s="33" t="n">
        <v>2024</v>
      </c>
      <c r="E146" s="8" t="s">
        <v>92</v>
      </c>
      <c r="F146" s="8" t="s">
        <v>236</v>
      </c>
      <c r="G146" s="8" t="s">
        <v>296</v>
      </c>
      <c r="H146" s="45" t="n">
        <v>29989</v>
      </c>
      <c r="I146" s="46" t="n">
        <v>57110</v>
      </c>
      <c r="J146" s="37" t="n">
        <f aca="false">IFERROR(ROUND(I146/MAX(2026-D146,0.5),0),"")</f>
        <v>28555</v>
      </c>
      <c r="K146" s="35" t="s">
        <v>259</v>
      </c>
      <c r="L146" s="35" t="s">
        <v>256</v>
      </c>
      <c r="M146" s="35" t="s">
        <v>257</v>
      </c>
      <c r="N146" s="33" t="n">
        <v>28</v>
      </c>
      <c r="O146" s="35" t="s">
        <v>276</v>
      </c>
      <c r="P146" s="45" t="n">
        <v>31418</v>
      </c>
      <c r="Q146" s="38" t="n">
        <v>0.045</v>
      </c>
      <c r="R146" s="35" t="s">
        <v>258</v>
      </c>
      <c r="S146" s="45" t="n">
        <v>290</v>
      </c>
      <c r="T146" s="35" t="s">
        <v>255</v>
      </c>
      <c r="U146" s="33" t="n">
        <v>1</v>
      </c>
      <c r="V146" s="35" t="s">
        <v>259</v>
      </c>
      <c r="W146" s="33" t="n">
        <v>1</v>
      </c>
      <c r="X146" s="35" t="s">
        <v>255</v>
      </c>
      <c r="Y146" s="35" t="s">
        <v>255</v>
      </c>
      <c r="Z146" s="35" t="s">
        <v>255</v>
      </c>
      <c r="AA146" s="35" t="s">
        <v>259</v>
      </c>
      <c r="AB146" s="35" t="s">
        <v>255</v>
      </c>
      <c r="AC146" s="35" t="s">
        <v>259</v>
      </c>
      <c r="AD146" s="35" t="s">
        <v>259</v>
      </c>
      <c r="AE146" s="35" t="s">
        <v>259</v>
      </c>
      <c r="AF146" s="35" t="s">
        <v>259</v>
      </c>
      <c r="AG146" s="35" t="s">
        <v>259</v>
      </c>
      <c r="AH146" s="35" t="s">
        <v>259</v>
      </c>
      <c r="AI146" s="35" t="s">
        <v>255</v>
      </c>
      <c r="AJ146" s="35" t="s">
        <v>259</v>
      </c>
      <c r="AK146" s="8" t="s">
        <v>261</v>
      </c>
      <c r="AL146" s="8" t="s">
        <v>261</v>
      </c>
      <c r="AM146" s="8" t="s">
        <v>278</v>
      </c>
      <c r="AN146" s="8" t="s">
        <v>594</v>
      </c>
      <c r="AO146" s="8" t="s">
        <v>448</v>
      </c>
      <c r="AP146" s="35" t="s">
        <v>265</v>
      </c>
      <c r="AQ146" s="39" t="n">
        <v>16</v>
      </c>
      <c r="AR146" s="39" t="n">
        <v>4.5</v>
      </c>
      <c r="AS146" s="33" t="n">
        <v>53</v>
      </c>
      <c r="AT146" s="45" t="n">
        <v>2562</v>
      </c>
      <c r="AU146" s="45" t="n">
        <v>535.71</v>
      </c>
      <c r="AV146" s="45"/>
      <c r="AW146" s="39" t="n">
        <v>83.6</v>
      </c>
      <c r="AX146" s="39" t="n">
        <v>63.4</v>
      </c>
      <c r="AY146" s="39" t="n">
        <v>30</v>
      </c>
      <c r="AZ146" s="39" t="n">
        <v>26</v>
      </c>
      <c r="BA146" s="39" t="n">
        <v>0</v>
      </c>
      <c r="BB146" s="39" t="n">
        <v>78.7</v>
      </c>
      <c r="BC146" s="8" t="s">
        <v>642</v>
      </c>
      <c r="BD146" s="47" t="s">
        <v>346</v>
      </c>
      <c r="BE146" s="41" t="s">
        <v>643</v>
      </c>
    </row>
    <row r="147" customFormat="false" ht="15" hidden="false" customHeight="false" outlineLevel="0" collapsed="false">
      <c r="A147" s="33" t="n">
        <f aca="false">RANK(B147,$B$5:$B$266)</f>
        <v>143</v>
      </c>
      <c r="B147" s="34" t="n">
        <f aca="false">ROUND((AW147*'Scoring Weights'!$B$5+AX147*'Scoring Weights'!$B$6+AY147*'Scoring Weights'!$B$7+BA147*'Scoring Weights'!$B$8+AZ147*'Scoring Weights'!$B$9+BB147*'Scoring Weights'!$B$10)/MAX('Scoring Weights'!$B$11,1),1)</f>
        <v>48.2</v>
      </c>
      <c r="C147" s="35" t="str">
        <f aca="false">IF(AND(H147&lt;='Search Criteria'!$B$5,D147&gt;='Search Criteria'!$B$6,AQ147&lt;='Search Criteria'!$B$7,I147&lt;=INDEX('Search Criteria'!$B$18:$B$20,MATCH(E147,'Search Criteria'!$A$18:$A$20,0)),OR(NOT('Search Criteria'!$B$8),L147&lt;&gt;"FWD"),OR(NOT('Search Criteria'!$B$9),T147="Yes"),OR(NOT('Search Criteria'!$B$10),W147&gt;0),OR(NOT('Search Criteria'!$B$11),X147="Yes"),OR(NOT('Search Criteria'!$B$12),O147="GREAT",O147="GOOD"),OR(NOT('Search Criteria'!$B$13),K147="Yes")),"YES","no")</f>
        <v>no</v>
      </c>
      <c r="D147" s="33" t="n">
        <v>2025</v>
      </c>
      <c r="E147" s="8" t="s">
        <v>92</v>
      </c>
      <c r="F147" s="8" t="s">
        <v>236</v>
      </c>
      <c r="G147" s="8" t="s">
        <v>296</v>
      </c>
      <c r="H147" s="45" t="n">
        <v>34833</v>
      </c>
      <c r="I147" s="46" t="n">
        <v>36466</v>
      </c>
      <c r="J147" s="37" t="n">
        <f aca="false">IFERROR(ROUND(I147/MAX(2026-D147,0.5),0),"")</f>
        <v>36466</v>
      </c>
      <c r="K147" s="35" t="s">
        <v>259</v>
      </c>
      <c r="L147" s="35" t="s">
        <v>256</v>
      </c>
      <c r="M147" s="35" t="s">
        <v>302</v>
      </c>
      <c r="N147" s="33" t="n">
        <v>39</v>
      </c>
      <c r="O147" s="35" t="s">
        <v>286</v>
      </c>
      <c r="P147" s="45" t="n">
        <v>34260</v>
      </c>
      <c r="Q147" s="38" t="n">
        <v>-0.017</v>
      </c>
      <c r="R147" s="35" t="s">
        <v>258</v>
      </c>
      <c r="S147" s="45" t="n">
        <v>480</v>
      </c>
      <c r="T147" s="35" t="s">
        <v>255</v>
      </c>
      <c r="U147" s="33" t="n">
        <v>1</v>
      </c>
      <c r="V147" s="35" t="s">
        <v>259</v>
      </c>
      <c r="W147" s="33" t="n">
        <v>3</v>
      </c>
      <c r="X147" s="35" t="s">
        <v>259</v>
      </c>
      <c r="Y147" s="35" t="s">
        <v>255</v>
      </c>
      <c r="Z147" s="35" t="s">
        <v>259</v>
      </c>
      <c r="AA147" s="35" t="s">
        <v>259</v>
      </c>
      <c r="AB147" s="35" t="s">
        <v>255</v>
      </c>
      <c r="AC147" s="35" t="s">
        <v>259</v>
      </c>
      <c r="AD147" s="35" t="s">
        <v>259</v>
      </c>
      <c r="AE147" s="35" t="s">
        <v>259</v>
      </c>
      <c r="AF147" s="35" t="s">
        <v>259</v>
      </c>
      <c r="AG147" s="35" t="s">
        <v>259</v>
      </c>
      <c r="AH147" s="35" t="s">
        <v>259</v>
      </c>
      <c r="AI147" s="35" t="s">
        <v>255</v>
      </c>
      <c r="AJ147" s="35" t="s">
        <v>259</v>
      </c>
      <c r="AK147" s="8" t="s">
        <v>261</v>
      </c>
      <c r="AL147" s="8" t="s">
        <v>261</v>
      </c>
      <c r="AM147" s="8" t="s">
        <v>278</v>
      </c>
      <c r="AN147" s="8" t="s">
        <v>375</v>
      </c>
      <c r="AO147" s="8" t="s">
        <v>376</v>
      </c>
      <c r="AP147" s="35" t="s">
        <v>265</v>
      </c>
      <c r="AQ147" s="39" t="n">
        <v>31.9</v>
      </c>
      <c r="AR147" s="39" t="n">
        <v>4.6</v>
      </c>
      <c r="AS147" s="33" t="n">
        <v>60</v>
      </c>
      <c r="AT147" s="45" t="n">
        <v>2065</v>
      </c>
      <c r="AU147" s="45" t="n">
        <v>622.24</v>
      </c>
      <c r="AV147" s="45" t="n">
        <v>235</v>
      </c>
      <c r="AW147" s="39" t="n">
        <v>81.8</v>
      </c>
      <c r="AX147" s="39" t="n">
        <v>62.9</v>
      </c>
      <c r="AY147" s="39" t="n">
        <v>44.5</v>
      </c>
      <c r="AZ147" s="39" t="n">
        <v>16</v>
      </c>
      <c r="BA147" s="39" t="n">
        <v>0</v>
      </c>
      <c r="BB147" s="39" t="n">
        <v>57.4</v>
      </c>
      <c r="BC147" s="8" t="s">
        <v>644</v>
      </c>
      <c r="BD147" s="47" t="s">
        <v>290</v>
      </c>
      <c r="BE147" s="41" t="s">
        <v>645</v>
      </c>
    </row>
    <row r="148" customFormat="false" ht="15" hidden="false" customHeight="false" outlineLevel="0" collapsed="false">
      <c r="A148" s="33" t="n">
        <f aca="false">RANK(B148,$B$5:$B$266)</f>
        <v>143</v>
      </c>
      <c r="B148" s="34" t="n">
        <f aca="false">ROUND((AW148*'Scoring Weights'!$B$5+AX148*'Scoring Weights'!$B$6+AY148*'Scoring Weights'!$B$7+BA148*'Scoring Weights'!$B$8+AZ148*'Scoring Weights'!$B$9+BB148*'Scoring Weights'!$B$10)/MAX('Scoring Weights'!$B$11,1),1)</f>
        <v>48.2</v>
      </c>
      <c r="C148" s="35" t="str">
        <f aca="false">IF(AND(H148&lt;='Search Criteria'!$B$5,D148&gt;='Search Criteria'!$B$6,AQ148&lt;='Search Criteria'!$B$7,I148&lt;=INDEX('Search Criteria'!$B$18:$B$20,MATCH(E148,'Search Criteria'!$A$18:$A$20,0)),OR(NOT('Search Criteria'!$B$8),L148&lt;&gt;"FWD"),OR(NOT('Search Criteria'!$B$9),T148="Yes"),OR(NOT('Search Criteria'!$B$10),W148&gt;0),OR(NOT('Search Criteria'!$B$11),X148="Yes"),OR(NOT('Search Criteria'!$B$12),O148="GREAT",O148="GOOD"),OR(NOT('Search Criteria'!$B$13),K148="Yes")),"YES","no")</f>
        <v>no</v>
      </c>
      <c r="D148" s="33" t="n">
        <v>2022</v>
      </c>
      <c r="E148" s="8" t="s">
        <v>92</v>
      </c>
      <c r="F148" s="8" t="s">
        <v>236</v>
      </c>
      <c r="G148" s="8" t="s">
        <v>343</v>
      </c>
      <c r="H148" s="45" t="n">
        <v>34809</v>
      </c>
      <c r="I148" s="46" t="n">
        <v>69985</v>
      </c>
      <c r="J148" s="37" t="n">
        <f aca="false">IFERROR(ROUND(I148/MAX(2026-D148,0.5),0),"")</f>
        <v>17496</v>
      </c>
      <c r="K148" s="35" t="s">
        <v>259</v>
      </c>
      <c r="L148" s="35" t="s">
        <v>256</v>
      </c>
      <c r="M148" s="35" t="s">
        <v>302</v>
      </c>
      <c r="N148" s="33" t="n">
        <v>40</v>
      </c>
      <c r="O148" s="35" t="s">
        <v>276</v>
      </c>
      <c r="P148" s="45" t="n">
        <v>28002</v>
      </c>
      <c r="Q148" s="38" t="n">
        <v>-0.243</v>
      </c>
      <c r="R148" s="35" t="s">
        <v>258</v>
      </c>
      <c r="S148" s="45" t="n">
        <v>480</v>
      </c>
      <c r="T148" s="35" t="s">
        <v>255</v>
      </c>
      <c r="U148" s="33" t="n">
        <v>2</v>
      </c>
      <c r="V148" s="35" t="s">
        <v>255</v>
      </c>
      <c r="W148" s="33" t="n">
        <v>11</v>
      </c>
      <c r="X148" s="35" t="s">
        <v>255</v>
      </c>
      <c r="Y148" s="35" t="s">
        <v>255</v>
      </c>
      <c r="Z148" s="35" t="s">
        <v>255</v>
      </c>
      <c r="AA148" s="35" t="s">
        <v>255</v>
      </c>
      <c r="AB148" s="35" t="s">
        <v>255</v>
      </c>
      <c r="AC148" s="35" t="s">
        <v>255</v>
      </c>
      <c r="AD148" s="35" t="s">
        <v>255</v>
      </c>
      <c r="AE148" s="35" t="s">
        <v>259</v>
      </c>
      <c r="AF148" s="35" t="s">
        <v>255</v>
      </c>
      <c r="AG148" s="35" t="s">
        <v>255</v>
      </c>
      <c r="AH148" s="35" t="s">
        <v>255</v>
      </c>
      <c r="AI148" s="35" t="s">
        <v>255</v>
      </c>
      <c r="AJ148" s="35" t="s">
        <v>255</v>
      </c>
      <c r="AK148" s="8" t="s">
        <v>292</v>
      </c>
      <c r="AL148" s="8" t="s">
        <v>261</v>
      </c>
      <c r="AM148" s="8" t="s">
        <v>278</v>
      </c>
      <c r="AN148" s="8" t="s">
        <v>505</v>
      </c>
      <c r="AO148" s="8" t="s">
        <v>506</v>
      </c>
      <c r="AP148" s="35" t="s">
        <v>272</v>
      </c>
      <c r="AQ148" s="39" t="n">
        <v>52.7</v>
      </c>
      <c r="AR148" s="39" t="n">
        <v>4.8</v>
      </c>
      <c r="AS148" s="33" t="n">
        <v>51</v>
      </c>
      <c r="AT148" s="45"/>
      <c r="AU148" s="45" t="n">
        <v>621.81</v>
      </c>
      <c r="AV148" s="45" t="n">
        <v>314</v>
      </c>
      <c r="AW148" s="39" t="n">
        <v>87</v>
      </c>
      <c r="AX148" s="39" t="n">
        <v>34.1</v>
      </c>
      <c r="AY148" s="39" t="n">
        <v>22.3</v>
      </c>
      <c r="AZ148" s="39" t="n">
        <v>90</v>
      </c>
      <c r="BA148" s="39" t="n">
        <v>0</v>
      </c>
      <c r="BB148" s="39" t="n">
        <v>29.7</v>
      </c>
      <c r="BC148" s="8" t="s">
        <v>646</v>
      </c>
      <c r="BD148" s="47" t="s">
        <v>365</v>
      </c>
      <c r="BE148" s="41" t="s">
        <v>647</v>
      </c>
    </row>
    <row r="149" customFormat="false" ht="15" hidden="false" customHeight="false" outlineLevel="0" collapsed="false">
      <c r="A149" s="33" t="n">
        <f aca="false">RANK(B149,$B$5:$B$266)</f>
        <v>145</v>
      </c>
      <c r="B149" s="34" t="n">
        <f aca="false">ROUND((AW149*'Scoring Weights'!$B$5+AX149*'Scoring Weights'!$B$6+AY149*'Scoring Weights'!$B$7+BA149*'Scoring Weights'!$B$8+AZ149*'Scoring Weights'!$B$9+BB149*'Scoring Weights'!$B$10)/MAX('Scoring Weights'!$B$11,1),1)</f>
        <v>48.1</v>
      </c>
      <c r="C149" s="35" t="str">
        <f aca="false">IF(AND(H149&lt;='Search Criteria'!$B$5,D149&gt;='Search Criteria'!$B$6,AQ149&lt;='Search Criteria'!$B$7,I149&lt;=INDEX('Search Criteria'!$B$18:$B$20,MATCH(E149,'Search Criteria'!$A$18:$A$20,0)),OR(NOT('Search Criteria'!$B$8),L149&lt;&gt;"FWD"),OR(NOT('Search Criteria'!$B$9),T149="Yes"),OR(NOT('Search Criteria'!$B$10),W149&gt;0),OR(NOT('Search Criteria'!$B$11),X149="Yes"),OR(NOT('Search Criteria'!$B$12),O149="GREAT",O149="GOOD"),OR(NOT('Search Criteria'!$B$13),K149="Yes")),"YES","no")</f>
        <v>no</v>
      </c>
      <c r="D149" s="33" t="n">
        <v>2022</v>
      </c>
      <c r="E149" s="8" t="s">
        <v>92</v>
      </c>
      <c r="F149" s="8" t="s">
        <v>236</v>
      </c>
      <c r="G149" s="8" t="s">
        <v>648</v>
      </c>
      <c r="H149" s="45" t="n">
        <v>33999</v>
      </c>
      <c r="I149" s="46" t="n">
        <v>43931</v>
      </c>
      <c r="J149" s="37" t="n">
        <f aca="false">IFERROR(ROUND(I149/MAX(2026-D149,0.5),0),"")</f>
        <v>10983</v>
      </c>
      <c r="K149" s="35" t="s">
        <v>259</v>
      </c>
      <c r="L149" s="35" t="s">
        <v>256</v>
      </c>
      <c r="M149" s="35" t="s">
        <v>302</v>
      </c>
      <c r="N149" s="33" t="n">
        <v>40</v>
      </c>
      <c r="O149" s="35" t="s">
        <v>276</v>
      </c>
      <c r="P149" s="45" t="n">
        <v>30081</v>
      </c>
      <c r="Q149" s="38" t="n">
        <v>-0.13</v>
      </c>
      <c r="R149" s="35" t="s">
        <v>277</v>
      </c>
      <c r="S149" s="45"/>
      <c r="T149" s="35" t="s">
        <v>259</v>
      </c>
      <c r="U149" s="33" t="n">
        <v>2</v>
      </c>
      <c r="V149" s="35" t="s">
        <v>259</v>
      </c>
      <c r="W149" s="33" t="n">
        <v>9</v>
      </c>
      <c r="X149" s="35" t="s">
        <v>259</v>
      </c>
      <c r="Y149" s="35" t="s">
        <v>255</v>
      </c>
      <c r="Z149" s="35" t="s">
        <v>255</v>
      </c>
      <c r="AA149" s="35" t="s">
        <v>259</v>
      </c>
      <c r="AB149" s="35" t="s">
        <v>255</v>
      </c>
      <c r="AC149" s="35" t="s">
        <v>255</v>
      </c>
      <c r="AD149" s="35" t="s">
        <v>255</v>
      </c>
      <c r="AE149" s="35" t="s">
        <v>259</v>
      </c>
      <c r="AF149" s="35" t="s">
        <v>259</v>
      </c>
      <c r="AG149" s="35" t="s">
        <v>259</v>
      </c>
      <c r="AH149" s="35" t="s">
        <v>259</v>
      </c>
      <c r="AI149" s="35" t="s">
        <v>255</v>
      </c>
      <c r="AJ149" s="35" t="s">
        <v>259</v>
      </c>
      <c r="AK149" s="8" t="s">
        <v>292</v>
      </c>
      <c r="AL149" s="8" t="s">
        <v>261</v>
      </c>
      <c r="AM149" s="8" t="s">
        <v>278</v>
      </c>
      <c r="AN149" s="8" t="s">
        <v>437</v>
      </c>
      <c r="AO149" s="8" t="s">
        <v>280</v>
      </c>
      <c r="AP149" s="35" t="s">
        <v>265</v>
      </c>
      <c r="AQ149" s="39" t="n">
        <v>10.6</v>
      </c>
      <c r="AR149" s="39" t="n">
        <v>4.7</v>
      </c>
      <c r="AS149" s="33" t="n">
        <v>16</v>
      </c>
      <c r="AT149" s="45"/>
      <c r="AU149" s="45" t="n">
        <v>607.34</v>
      </c>
      <c r="AV149" s="45" t="n">
        <v>250</v>
      </c>
      <c r="AW149" s="39" t="n">
        <v>70.8</v>
      </c>
      <c r="AX149" s="39" t="n">
        <v>37.1</v>
      </c>
      <c r="AY149" s="39" t="n">
        <v>56.8</v>
      </c>
      <c r="AZ149" s="39" t="n">
        <v>50</v>
      </c>
      <c r="BA149" s="39" t="n">
        <v>0</v>
      </c>
      <c r="BB149" s="39" t="n">
        <v>85.9</v>
      </c>
      <c r="BC149" s="8" t="s">
        <v>649</v>
      </c>
      <c r="BD149" s="47" t="s">
        <v>365</v>
      </c>
      <c r="BE149" s="41" t="s">
        <v>650</v>
      </c>
    </row>
    <row r="150" customFormat="false" ht="15" hidden="false" customHeight="false" outlineLevel="0" collapsed="false">
      <c r="A150" s="33" t="n">
        <f aca="false">RANK(B150,$B$5:$B$266)</f>
        <v>145</v>
      </c>
      <c r="B150" s="34" t="n">
        <f aca="false">ROUND((AW150*'Scoring Weights'!$B$5+AX150*'Scoring Weights'!$B$6+AY150*'Scoring Weights'!$B$7+BA150*'Scoring Weights'!$B$8+AZ150*'Scoring Weights'!$B$9+BB150*'Scoring Weights'!$B$10)/MAX('Scoring Weights'!$B$11,1),1)</f>
        <v>48.1</v>
      </c>
      <c r="C150" s="35" t="str">
        <f aca="false">IF(AND(H150&lt;='Search Criteria'!$B$5,D150&gt;='Search Criteria'!$B$6,AQ150&lt;='Search Criteria'!$B$7,I150&lt;=INDEX('Search Criteria'!$B$18:$B$20,MATCH(E150,'Search Criteria'!$A$18:$A$20,0)),OR(NOT('Search Criteria'!$B$8),L150&lt;&gt;"FWD"),OR(NOT('Search Criteria'!$B$9),T150="Yes"),OR(NOT('Search Criteria'!$B$10),W150&gt;0),OR(NOT('Search Criteria'!$B$11),X150="Yes"),OR(NOT('Search Criteria'!$B$12),O150="GREAT",O150="GOOD"),OR(NOT('Search Criteria'!$B$13),K150="Yes")),"YES","no")</f>
        <v>no</v>
      </c>
      <c r="D150" s="33" t="n">
        <v>2025</v>
      </c>
      <c r="E150" s="8" t="s">
        <v>95</v>
      </c>
      <c r="F150" s="8" t="s">
        <v>234</v>
      </c>
      <c r="G150" s="8" t="s">
        <v>421</v>
      </c>
      <c r="H150" s="45" t="n">
        <v>33258</v>
      </c>
      <c r="I150" s="46" t="n">
        <v>26704</v>
      </c>
      <c r="J150" s="37" t="n">
        <f aca="false">IFERROR(ROUND(I150/MAX(2026-D150,0.5),0),"")</f>
        <v>26704</v>
      </c>
      <c r="K150" s="35" t="s">
        <v>259</v>
      </c>
      <c r="L150" s="35" t="s">
        <v>256</v>
      </c>
      <c r="M150" s="35" t="s">
        <v>257</v>
      </c>
      <c r="N150" s="33" t="n">
        <v>25</v>
      </c>
      <c r="O150" s="35" t="s">
        <v>286</v>
      </c>
      <c r="P150" s="45" t="n">
        <v>31572</v>
      </c>
      <c r="Q150" s="38" t="n">
        <v>-0.053</v>
      </c>
      <c r="R150" s="35" t="s">
        <v>286</v>
      </c>
      <c r="S150" s="45" t="n">
        <v>260</v>
      </c>
      <c r="T150" s="35" t="s">
        <v>259</v>
      </c>
      <c r="U150" s="33" t="n">
        <v>1</v>
      </c>
      <c r="V150" s="35" t="s">
        <v>255</v>
      </c>
      <c r="W150" s="33" t="n">
        <v>6</v>
      </c>
      <c r="X150" s="35" t="s">
        <v>255</v>
      </c>
      <c r="Y150" s="35" t="s">
        <v>255</v>
      </c>
      <c r="Z150" s="35" t="s">
        <v>255</v>
      </c>
      <c r="AA150" s="35" t="s">
        <v>255</v>
      </c>
      <c r="AB150" s="35" t="s">
        <v>255</v>
      </c>
      <c r="AC150" s="35" t="s">
        <v>255</v>
      </c>
      <c r="AD150" s="35" t="s">
        <v>255</v>
      </c>
      <c r="AE150" s="35" t="s">
        <v>259</v>
      </c>
      <c r="AF150" s="35" t="s">
        <v>255</v>
      </c>
      <c r="AG150" s="35" t="s">
        <v>259</v>
      </c>
      <c r="AH150" s="35" t="s">
        <v>255</v>
      </c>
      <c r="AI150" s="35" t="s">
        <v>255</v>
      </c>
      <c r="AJ150" s="35" t="s">
        <v>255</v>
      </c>
      <c r="AK150" s="8" t="s">
        <v>260</v>
      </c>
      <c r="AL150" s="8" t="s">
        <v>261</v>
      </c>
      <c r="AM150" s="8" t="s">
        <v>383</v>
      </c>
      <c r="AN150" s="8" t="s">
        <v>397</v>
      </c>
      <c r="AO150" s="8" t="s">
        <v>398</v>
      </c>
      <c r="AP150" s="35" t="s">
        <v>265</v>
      </c>
      <c r="AQ150" s="39" t="n">
        <v>63.7</v>
      </c>
      <c r="AR150" s="39" t="n">
        <v>4.5</v>
      </c>
      <c r="AS150" s="33" t="n">
        <v>10</v>
      </c>
      <c r="AT150" s="45"/>
      <c r="AU150" s="45" t="n">
        <v>594.11</v>
      </c>
      <c r="AV150" s="45" t="n">
        <v>261</v>
      </c>
      <c r="AW150" s="39" t="n">
        <v>66.7</v>
      </c>
      <c r="AX150" s="39" t="n">
        <v>57.4</v>
      </c>
      <c r="AY150" s="39" t="n">
        <v>32.6</v>
      </c>
      <c r="AZ150" s="39" t="n">
        <v>82</v>
      </c>
      <c r="BA150" s="39" t="n">
        <v>0</v>
      </c>
      <c r="BB150" s="39" t="n">
        <v>15.1</v>
      </c>
      <c r="BC150" s="8" t="s">
        <v>651</v>
      </c>
      <c r="BD150" s="47" t="s">
        <v>282</v>
      </c>
      <c r="BE150" s="41" t="s">
        <v>652</v>
      </c>
    </row>
    <row r="151" customFormat="false" ht="15" hidden="false" customHeight="false" outlineLevel="0" collapsed="false">
      <c r="A151" s="33" t="n">
        <f aca="false">RANK(B151,$B$5:$B$266)</f>
        <v>145</v>
      </c>
      <c r="B151" s="34" t="n">
        <f aca="false">ROUND((AW151*'Scoring Weights'!$B$5+AX151*'Scoring Weights'!$B$6+AY151*'Scoring Weights'!$B$7+BA151*'Scoring Weights'!$B$8+AZ151*'Scoring Weights'!$B$9+BB151*'Scoring Weights'!$B$10)/MAX('Scoring Weights'!$B$11,1),1)</f>
        <v>48.1</v>
      </c>
      <c r="C151" s="35" t="str">
        <f aca="false">IF(AND(H151&lt;='Search Criteria'!$B$5,D151&gt;='Search Criteria'!$B$6,AQ151&lt;='Search Criteria'!$B$7,I151&lt;=INDEX('Search Criteria'!$B$18:$B$20,MATCH(E151,'Search Criteria'!$A$18:$A$20,0)),OR(NOT('Search Criteria'!$B$8),L151&lt;&gt;"FWD"),OR(NOT('Search Criteria'!$B$9),T151="Yes"),OR(NOT('Search Criteria'!$B$10),W151&gt;0),OR(NOT('Search Criteria'!$B$11),X151="Yes"),OR(NOT('Search Criteria'!$B$12),O151="GREAT",O151="GOOD"),OR(NOT('Search Criteria'!$B$13),K151="Yes")),"YES","no")</f>
        <v>no</v>
      </c>
      <c r="D151" s="33" t="n">
        <v>2024</v>
      </c>
      <c r="E151" s="8" t="s">
        <v>92</v>
      </c>
      <c r="F151" s="8" t="s">
        <v>236</v>
      </c>
      <c r="G151" s="8" t="s">
        <v>453</v>
      </c>
      <c r="H151" s="45" t="n">
        <v>27291</v>
      </c>
      <c r="I151" s="46" t="n">
        <v>138625</v>
      </c>
      <c r="J151" s="37" t="n">
        <f aca="false">IFERROR(ROUND(I151/MAX(2026-D151,0.5),0),"")</f>
        <v>69313</v>
      </c>
      <c r="K151" s="35" t="s">
        <v>259</v>
      </c>
      <c r="L151" s="35" t="s">
        <v>256</v>
      </c>
      <c r="M151" s="35" t="s">
        <v>302</v>
      </c>
      <c r="N151" s="33" t="n">
        <v>38</v>
      </c>
      <c r="O151" s="35" t="s">
        <v>258</v>
      </c>
      <c r="P151" s="45" t="n">
        <v>24910</v>
      </c>
      <c r="Q151" s="38" t="n">
        <v>-0.096</v>
      </c>
      <c r="R151" s="35" t="s">
        <v>277</v>
      </c>
      <c r="S151" s="45"/>
      <c r="T151" s="35" t="s">
        <v>259</v>
      </c>
      <c r="U151" s="33" t="n">
        <v>1</v>
      </c>
      <c r="V151" s="35" t="s">
        <v>259</v>
      </c>
      <c r="W151" s="33" t="n">
        <v>18</v>
      </c>
      <c r="X151" s="35" t="s">
        <v>255</v>
      </c>
      <c r="Y151" s="35" t="s">
        <v>255</v>
      </c>
      <c r="Z151" s="35" t="s">
        <v>259</v>
      </c>
      <c r="AA151" s="35" t="s">
        <v>255</v>
      </c>
      <c r="AB151" s="35" t="s">
        <v>255</v>
      </c>
      <c r="AC151" s="35" t="s">
        <v>255</v>
      </c>
      <c r="AD151" s="35" t="s">
        <v>255</v>
      </c>
      <c r="AE151" s="35" t="s">
        <v>259</v>
      </c>
      <c r="AF151" s="35" t="s">
        <v>255</v>
      </c>
      <c r="AG151" s="35" t="s">
        <v>255</v>
      </c>
      <c r="AH151" s="35" t="s">
        <v>259</v>
      </c>
      <c r="AI151" s="35" t="s">
        <v>255</v>
      </c>
      <c r="AJ151" s="35" t="s">
        <v>255</v>
      </c>
      <c r="AK151" s="8" t="s">
        <v>260</v>
      </c>
      <c r="AL151" s="8" t="s">
        <v>261</v>
      </c>
      <c r="AM151" s="8" t="s">
        <v>278</v>
      </c>
      <c r="AN151" s="8" t="s">
        <v>415</v>
      </c>
      <c r="AO151" s="8" t="s">
        <v>416</v>
      </c>
      <c r="AP151" s="35" t="s">
        <v>272</v>
      </c>
      <c r="AQ151" s="39" t="n">
        <v>33.3</v>
      </c>
      <c r="AR151" s="39" t="n">
        <v>4.1</v>
      </c>
      <c r="AS151" s="33" t="n">
        <v>51</v>
      </c>
      <c r="AT151" s="45"/>
      <c r="AU151" s="45" t="n">
        <v>487.51</v>
      </c>
      <c r="AV151" s="45" t="n">
        <v>230</v>
      </c>
      <c r="AW151" s="39" t="n">
        <v>80.8</v>
      </c>
      <c r="AX151" s="39" t="n">
        <v>63.2</v>
      </c>
      <c r="AY151" s="39" t="n">
        <v>0</v>
      </c>
      <c r="AZ151" s="39" t="n">
        <v>74</v>
      </c>
      <c r="BA151" s="39" t="n">
        <v>0</v>
      </c>
      <c r="BB151" s="39" t="n">
        <v>55.7</v>
      </c>
      <c r="BC151" s="8" t="s">
        <v>653</v>
      </c>
      <c r="BD151" s="47" t="s">
        <v>346</v>
      </c>
      <c r="BE151" s="41" t="s">
        <v>654</v>
      </c>
    </row>
    <row r="152" customFormat="false" ht="15" hidden="false" customHeight="false" outlineLevel="0" collapsed="false">
      <c r="A152" s="33" t="n">
        <f aca="false">RANK(B152,$B$5:$B$266)</f>
        <v>148</v>
      </c>
      <c r="B152" s="34" t="n">
        <f aca="false">ROUND((AW152*'Scoring Weights'!$B$5+AX152*'Scoring Weights'!$B$6+AY152*'Scoring Weights'!$B$7+BA152*'Scoring Weights'!$B$8+AZ152*'Scoring Weights'!$B$9+BB152*'Scoring Weights'!$B$10)/MAX('Scoring Weights'!$B$11,1),1)</f>
        <v>47.9</v>
      </c>
      <c r="C152" s="35" t="str">
        <f aca="false">IF(AND(H152&lt;='Search Criteria'!$B$5,D152&gt;='Search Criteria'!$B$6,AQ152&lt;='Search Criteria'!$B$7,I152&lt;=INDEX('Search Criteria'!$B$18:$B$20,MATCH(E152,'Search Criteria'!$A$18:$A$20,0)),OR(NOT('Search Criteria'!$B$8),L152&lt;&gt;"FWD"),OR(NOT('Search Criteria'!$B$9),T152="Yes"),OR(NOT('Search Criteria'!$B$10),W152&gt;0),OR(NOT('Search Criteria'!$B$11),X152="Yes"),OR(NOT('Search Criteria'!$B$12),O152="GREAT",O152="GOOD"),OR(NOT('Search Criteria'!$B$13),K152="Yes")),"YES","no")</f>
        <v>no</v>
      </c>
      <c r="D152" s="33" t="n">
        <v>2022</v>
      </c>
      <c r="E152" s="8" t="s">
        <v>92</v>
      </c>
      <c r="F152" s="8" t="s">
        <v>236</v>
      </c>
      <c r="G152" s="8" t="s">
        <v>338</v>
      </c>
      <c r="H152" s="45" t="n">
        <v>22491</v>
      </c>
      <c r="I152" s="46" t="n">
        <v>102800</v>
      </c>
      <c r="J152" s="37" t="n">
        <f aca="false">IFERROR(ROUND(I152/MAX(2026-D152,0.5),0),"")</f>
        <v>25700</v>
      </c>
      <c r="K152" s="35" t="s">
        <v>259</v>
      </c>
      <c r="L152" s="35" t="s">
        <v>256</v>
      </c>
      <c r="M152" s="35" t="s">
        <v>257</v>
      </c>
      <c r="N152" s="33" t="n">
        <v>30</v>
      </c>
      <c r="O152" s="35" t="s">
        <v>276</v>
      </c>
      <c r="P152" s="45" t="n">
        <v>25382</v>
      </c>
      <c r="Q152" s="38" t="n">
        <v>0.114</v>
      </c>
      <c r="R152" s="35" t="s">
        <v>258</v>
      </c>
      <c r="S152" s="45" t="n">
        <v>100</v>
      </c>
      <c r="T152" s="35" t="s">
        <v>255</v>
      </c>
      <c r="U152" s="33" t="n">
        <v>1</v>
      </c>
      <c r="V152" s="35" t="s">
        <v>259</v>
      </c>
      <c r="W152" s="33" t="n">
        <v>21</v>
      </c>
      <c r="X152" s="35" t="s">
        <v>259</v>
      </c>
      <c r="Y152" s="35" t="s">
        <v>255</v>
      </c>
      <c r="Z152" s="35" t="s">
        <v>259</v>
      </c>
      <c r="AA152" s="35" t="s">
        <v>259</v>
      </c>
      <c r="AB152" s="35" t="s">
        <v>255</v>
      </c>
      <c r="AC152" s="35" t="s">
        <v>259</v>
      </c>
      <c r="AD152" s="35" t="s">
        <v>259</v>
      </c>
      <c r="AE152" s="35" t="s">
        <v>259</v>
      </c>
      <c r="AF152" s="35" t="s">
        <v>255</v>
      </c>
      <c r="AG152" s="35" t="s">
        <v>259</v>
      </c>
      <c r="AH152" s="35" t="s">
        <v>259</v>
      </c>
      <c r="AI152" s="35" t="s">
        <v>259</v>
      </c>
      <c r="AJ152" s="35" t="s">
        <v>259</v>
      </c>
      <c r="AK152" s="8" t="s">
        <v>292</v>
      </c>
      <c r="AL152" s="8" t="s">
        <v>261</v>
      </c>
      <c r="AM152" s="8" t="s">
        <v>278</v>
      </c>
      <c r="AN152" s="8" t="s">
        <v>655</v>
      </c>
      <c r="AO152" s="8" t="s">
        <v>656</v>
      </c>
      <c r="AP152" s="35" t="s">
        <v>265</v>
      </c>
      <c r="AQ152" s="39" t="n">
        <v>9.7</v>
      </c>
      <c r="AR152" s="39" t="n">
        <v>4.6</v>
      </c>
      <c r="AS152" s="33" t="n">
        <v>37</v>
      </c>
      <c r="AT152" s="45"/>
      <c r="AU152" s="45" t="n">
        <v>401.77</v>
      </c>
      <c r="AV152" s="45"/>
      <c r="AW152" s="39" t="n">
        <v>94.4</v>
      </c>
      <c r="AX152" s="39" t="n">
        <v>73.7</v>
      </c>
      <c r="AY152" s="39" t="n">
        <v>0</v>
      </c>
      <c r="AZ152" s="39" t="n">
        <v>20</v>
      </c>
      <c r="BA152" s="39" t="n">
        <v>0</v>
      </c>
      <c r="BB152" s="39" t="n">
        <v>87.1</v>
      </c>
      <c r="BC152" s="8" t="s">
        <v>657</v>
      </c>
      <c r="BD152" s="47" t="s">
        <v>365</v>
      </c>
      <c r="BE152" s="41" t="s">
        <v>658</v>
      </c>
    </row>
    <row r="153" customFormat="false" ht="15" hidden="false" customHeight="false" outlineLevel="0" collapsed="false">
      <c r="A153" s="33" t="n">
        <f aca="false">RANK(B153,$B$5:$B$266)</f>
        <v>149</v>
      </c>
      <c r="B153" s="34" t="n">
        <f aca="false">ROUND((AW153*'Scoring Weights'!$B$5+AX153*'Scoring Weights'!$B$6+AY153*'Scoring Weights'!$B$7+BA153*'Scoring Weights'!$B$8+AZ153*'Scoring Weights'!$B$9+BB153*'Scoring Weights'!$B$10)/MAX('Scoring Weights'!$B$11,1),1)</f>
        <v>47.8</v>
      </c>
      <c r="C153" s="35" t="str">
        <f aca="false">IF(AND(H153&lt;='Search Criteria'!$B$5,D153&gt;='Search Criteria'!$B$6,AQ153&lt;='Search Criteria'!$B$7,I153&lt;=INDEX('Search Criteria'!$B$18:$B$20,MATCH(E153,'Search Criteria'!$A$18:$A$20,0)),OR(NOT('Search Criteria'!$B$8),L153&lt;&gt;"FWD"),OR(NOT('Search Criteria'!$B$9),T153="Yes"),OR(NOT('Search Criteria'!$B$10),W153&gt;0),OR(NOT('Search Criteria'!$B$11),X153="Yes"),OR(NOT('Search Criteria'!$B$12),O153="GREAT",O153="GOOD"),OR(NOT('Search Criteria'!$B$13),K153="Yes")),"YES","no")</f>
        <v>no</v>
      </c>
      <c r="D153" s="33" t="n">
        <v>2024</v>
      </c>
      <c r="E153" s="8" t="s">
        <v>92</v>
      </c>
      <c r="F153" s="8" t="s">
        <v>236</v>
      </c>
      <c r="G153" s="8" t="s">
        <v>338</v>
      </c>
      <c r="H153" s="45" t="n">
        <v>29733</v>
      </c>
      <c r="I153" s="46" t="n">
        <v>68128</v>
      </c>
      <c r="J153" s="37" t="n">
        <f aca="false">IFERROR(ROUND(I153/MAX(2026-D153,0.5),0),"")</f>
        <v>34064</v>
      </c>
      <c r="K153" s="35" t="s">
        <v>259</v>
      </c>
      <c r="L153" s="35" t="s">
        <v>256</v>
      </c>
      <c r="M153" s="35" t="s">
        <v>302</v>
      </c>
      <c r="N153" s="33" t="n">
        <v>39</v>
      </c>
      <c r="O153" s="35" t="s">
        <v>286</v>
      </c>
      <c r="P153" s="45" t="n">
        <v>30538</v>
      </c>
      <c r="Q153" s="38" t="n">
        <v>0.026</v>
      </c>
      <c r="R153" s="35" t="s">
        <v>258</v>
      </c>
      <c r="S153" s="45" t="n">
        <v>220</v>
      </c>
      <c r="T153" s="35" t="s">
        <v>255</v>
      </c>
      <c r="U153" s="33" t="n">
        <v>1</v>
      </c>
      <c r="V153" s="35" t="s">
        <v>259</v>
      </c>
      <c r="W153" s="33" t="n">
        <v>8</v>
      </c>
      <c r="X153" s="35" t="s">
        <v>259</v>
      </c>
      <c r="Y153" s="35" t="s">
        <v>255</v>
      </c>
      <c r="Z153" s="35" t="s">
        <v>259</v>
      </c>
      <c r="AA153" s="35" t="s">
        <v>259</v>
      </c>
      <c r="AB153" s="35" t="s">
        <v>255</v>
      </c>
      <c r="AC153" s="35" t="s">
        <v>259</v>
      </c>
      <c r="AD153" s="35" t="s">
        <v>259</v>
      </c>
      <c r="AE153" s="35" t="s">
        <v>259</v>
      </c>
      <c r="AF153" s="35" t="s">
        <v>259</v>
      </c>
      <c r="AG153" s="35" t="s">
        <v>259</v>
      </c>
      <c r="AH153" s="35" t="s">
        <v>259</v>
      </c>
      <c r="AI153" s="35" t="s">
        <v>259</v>
      </c>
      <c r="AJ153" s="35" t="s">
        <v>259</v>
      </c>
      <c r="AK153" s="8" t="s">
        <v>260</v>
      </c>
      <c r="AL153" s="8" t="s">
        <v>260</v>
      </c>
      <c r="AM153" s="8" t="s">
        <v>278</v>
      </c>
      <c r="AN153" s="8" t="s">
        <v>375</v>
      </c>
      <c r="AO153" s="8" t="s">
        <v>376</v>
      </c>
      <c r="AP153" s="35" t="s">
        <v>265</v>
      </c>
      <c r="AQ153" s="39" t="n">
        <v>31.9</v>
      </c>
      <c r="AR153" s="39" t="n">
        <v>4.6</v>
      </c>
      <c r="AS153" s="33" t="n">
        <v>32</v>
      </c>
      <c r="AT153" s="45" t="n">
        <v>2265</v>
      </c>
      <c r="AU153" s="45" t="n">
        <v>531.14</v>
      </c>
      <c r="AV153" s="45" t="n">
        <v>235</v>
      </c>
      <c r="AW153" s="39" t="n">
        <v>92</v>
      </c>
      <c r="AX153" s="39" t="n">
        <v>69.4</v>
      </c>
      <c r="AY153" s="39" t="n">
        <v>22.3</v>
      </c>
      <c r="AZ153" s="39" t="n">
        <v>12</v>
      </c>
      <c r="BA153" s="39" t="n">
        <v>0</v>
      </c>
      <c r="BB153" s="39" t="n">
        <v>57.4</v>
      </c>
      <c r="BC153" s="8" t="s">
        <v>659</v>
      </c>
      <c r="BD153" s="47" t="s">
        <v>346</v>
      </c>
      <c r="BE153" s="41" t="s">
        <v>660</v>
      </c>
    </row>
    <row r="154" customFormat="false" ht="15" hidden="false" customHeight="false" outlineLevel="0" collapsed="false">
      <c r="A154" s="33" t="n">
        <f aca="false">RANK(B154,$B$5:$B$266)</f>
        <v>150</v>
      </c>
      <c r="B154" s="34" t="n">
        <f aca="false">ROUND((AW154*'Scoring Weights'!$B$5+AX154*'Scoring Weights'!$B$6+AY154*'Scoring Weights'!$B$7+BA154*'Scoring Weights'!$B$8+AZ154*'Scoring Weights'!$B$9+BB154*'Scoring Weights'!$B$10)/MAX('Scoring Weights'!$B$11,1),1)</f>
        <v>47.7</v>
      </c>
      <c r="C154" s="35" t="str">
        <f aca="false">IF(AND(H154&lt;='Search Criteria'!$B$5,D154&gt;='Search Criteria'!$B$6,AQ154&lt;='Search Criteria'!$B$7,I154&lt;=INDEX('Search Criteria'!$B$18:$B$20,MATCH(E154,'Search Criteria'!$A$18:$A$20,0)),OR(NOT('Search Criteria'!$B$8),L154&lt;&gt;"FWD"),OR(NOT('Search Criteria'!$B$9),T154="Yes"),OR(NOT('Search Criteria'!$B$10),W154&gt;0),OR(NOT('Search Criteria'!$B$11),X154="Yes"),OR(NOT('Search Criteria'!$B$12),O154="GREAT",O154="GOOD"),OR(NOT('Search Criteria'!$B$13),K154="Yes")),"YES","no")</f>
        <v>no</v>
      </c>
      <c r="D154" s="33" t="n">
        <v>2025</v>
      </c>
      <c r="E154" s="8" t="s">
        <v>92</v>
      </c>
      <c r="F154" s="8" t="s">
        <v>236</v>
      </c>
      <c r="G154" s="8" t="s">
        <v>296</v>
      </c>
      <c r="H154" s="45" t="n">
        <v>35270</v>
      </c>
      <c r="I154" s="46" t="n">
        <v>26012</v>
      </c>
      <c r="J154" s="37" t="n">
        <f aca="false">IFERROR(ROUND(I154/MAX(2026-D154,0.5),0),"")</f>
        <v>26012</v>
      </c>
      <c r="K154" s="35" t="s">
        <v>259</v>
      </c>
      <c r="L154" s="35" t="s">
        <v>256</v>
      </c>
      <c r="M154" s="35" t="s">
        <v>257</v>
      </c>
      <c r="N154" s="33" t="n">
        <v>28</v>
      </c>
      <c r="O154" s="35" t="s">
        <v>297</v>
      </c>
      <c r="P154" s="45" t="n">
        <v>35095</v>
      </c>
      <c r="Q154" s="38" t="n">
        <v>-0.005</v>
      </c>
      <c r="R154" s="35" t="s">
        <v>258</v>
      </c>
      <c r="S154" s="45" t="n">
        <v>310</v>
      </c>
      <c r="T154" s="35" t="s">
        <v>255</v>
      </c>
      <c r="U154" s="33" t="n">
        <v>1</v>
      </c>
      <c r="V154" s="35" t="s">
        <v>259</v>
      </c>
      <c r="W154" s="33" t="n">
        <v>2</v>
      </c>
      <c r="X154" s="35" t="s">
        <v>259</v>
      </c>
      <c r="Y154" s="35" t="s">
        <v>255</v>
      </c>
      <c r="Z154" s="35" t="s">
        <v>259</v>
      </c>
      <c r="AA154" s="35" t="s">
        <v>259</v>
      </c>
      <c r="AB154" s="35" t="s">
        <v>255</v>
      </c>
      <c r="AC154" s="35" t="s">
        <v>259</v>
      </c>
      <c r="AD154" s="35" t="s">
        <v>259</v>
      </c>
      <c r="AE154" s="35" t="s">
        <v>259</v>
      </c>
      <c r="AF154" s="35" t="s">
        <v>259</v>
      </c>
      <c r="AG154" s="35" t="s">
        <v>259</v>
      </c>
      <c r="AH154" s="35" t="s">
        <v>259</v>
      </c>
      <c r="AI154" s="35" t="s">
        <v>255</v>
      </c>
      <c r="AJ154" s="35" t="s">
        <v>259</v>
      </c>
      <c r="AK154" s="8" t="s">
        <v>260</v>
      </c>
      <c r="AL154" s="8" t="s">
        <v>261</v>
      </c>
      <c r="AM154" s="8" t="s">
        <v>278</v>
      </c>
      <c r="AN154" s="8" t="s">
        <v>355</v>
      </c>
      <c r="AO154" s="8" t="s">
        <v>356</v>
      </c>
      <c r="AP154" s="35" t="s">
        <v>272</v>
      </c>
      <c r="AQ154" s="39" t="n">
        <v>34.7</v>
      </c>
      <c r="AR154" s="39" t="n">
        <v>4.6</v>
      </c>
      <c r="AS154" s="33" t="n">
        <v>17</v>
      </c>
      <c r="AT154" s="45"/>
      <c r="AU154" s="45" t="n">
        <v>630.05</v>
      </c>
      <c r="AV154" s="45" t="n">
        <v>280</v>
      </c>
      <c r="AW154" s="39" t="n">
        <v>84.8</v>
      </c>
      <c r="AX154" s="39" t="n">
        <v>52</v>
      </c>
      <c r="AY154" s="39" t="n">
        <v>51.8</v>
      </c>
      <c r="AZ154" s="39" t="n">
        <v>16</v>
      </c>
      <c r="BA154" s="39" t="n">
        <v>0</v>
      </c>
      <c r="BB154" s="39" t="n">
        <v>53.7</v>
      </c>
      <c r="BC154" s="8" t="s">
        <v>661</v>
      </c>
      <c r="BD154" s="47" t="s">
        <v>290</v>
      </c>
      <c r="BE154" s="41" t="s">
        <v>662</v>
      </c>
    </row>
    <row r="155" customFormat="false" ht="15" hidden="false" customHeight="false" outlineLevel="0" collapsed="false">
      <c r="A155" s="33" t="n">
        <f aca="false">RANK(B155,$B$5:$B$266)</f>
        <v>151</v>
      </c>
      <c r="B155" s="34" t="n">
        <f aca="false">ROUND((AW155*'Scoring Weights'!$B$5+AX155*'Scoring Weights'!$B$6+AY155*'Scoring Weights'!$B$7+BA155*'Scoring Weights'!$B$8+AZ155*'Scoring Weights'!$B$9+BB155*'Scoring Weights'!$B$10)/MAX('Scoring Weights'!$B$11,1),1)</f>
        <v>47.6</v>
      </c>
      <c r="C155" s="35" t="str">
        <f aca="false">IF(AND(H155&lt;='Search Criteria'!$B$5,D155&gt;='Search Criteria'!$B$6,AQ155&lt;='Search Criteria'!$B$7,I155&lt;=INDEX('Search Criteria'!$B$18:$B$20,MATCH(E155,'Search Criteria'!$A$18:$A$20,0)),OR(NOT('Search Criteria'!$B$8),L155&lt;&gt;"FWD"),OR(NOT('Search Criteria'!$B$9),T155="Yes"),OR(NOT('Search Criteria'!$B$10),W155&gt;0),OR(NOT('Search Criteria'!$B$11),X155="Yes"),OR(NOT('Search Criteria'!$B$12),O155="GREAT",O155="GOOD"),OR(NOT('Search Criteria'!$B$13),K155="Yes")),"YES","no")</f>
        <v>no</v>
      </c>
      <c r="D155" s="33" t="n">
        <v>2023</v>
      </c>
      <c r="E155" s="8" t="s">
        <v>94</v>
      </c>
      <c r="F155" s="8" t="s">
        <v>233</v>
      </c>
      <c r="G155" s="8" t="s">
        <v>301</v>
      </c>
      <c r="H155" s="45" t="n">
        <v>22768</v>
      </c>
      <c r="I155" s="46" t="n">
        <v>44769</v>
      </c>
      <c r="J155" s="37" t="n">
        <f aca="false">IFERROR(ROUND(I155/MAX(2026-D155,0.5),0),"")</f>
        <v>14923</v>
      </c>
      <c r="K155" s="35" t="s">
        <v>259</v>
      </c>
      <c r="L155" s="35" t="s">
        <v>285</v>
      </c>
      <c r="M155" s="35" t="s">
        <v>257</v>
      </c>
      <c r="N155" s="33" t="n">
        <v>28</v>
      </c>
      <c r="O155" s="35" t="s">
        <v>276</v>
      </c>
      <c r="P155" s="45" t="n">
        <v>25460</v>
      </c>
      <c r="Q155" s="38" t="n">
        <v>0.106</v>
      </c>
      <c r="R155" s="35" t="s">
        <v>258</v>
      </c>
      <c r="S155" s="45" t="n">
        <v>180</v>
      </c>
      <c r="T155" s="35" t="s">
        <v>255</v>
      </c>
      <c r="U155" s="33" t="n">
        <v>3</v>
      </c>
      <c r="V155" s="35" t="s">
        <v>259</v>
      </c>
      <c r="W155" s="33" t="n">
        <v>7</v>
      </c>
      <c r="X155" s="35" t="s">
        <v>255</v>
      </c>
      <c r="Y155" s="35" t="s">
        <v>255</v>
      </c>
      <c r="Z155" s="35" t="s">
        <v>259</v>
      </c>
      <c r="AA155" s="35" t="s">
        <v>259</v>
      </c>
      <c r="AB155" s="35" t="s">
        <v>255</v>
      </c>
      <c r="AC155" s="35" t="s">
        <v>259</v>
      </c>
      <c r="AD155" s="35" t="s">
        <v>255</v>
      </c>
      <c r="AE155" s="35" t="s">
        <v>259</v>
      </c>
      <c r="AF155" s="35" t="s">
        <v>259</v>
      </c>
      <c r="AG155" s="35" t="s">
        <v>259</v>
      </c>
      <c r="AH155" s="35" t="s">
        <v>259</v>
      </c>
      <c r="AI155" s="35" t="s">
        <v>259</v>
      </c>
      <c r="AJ155" s="35" t="s">
        <v>259</v>
      </c>
      <c r="AK155" s="8" t="s">
        <v>435</v>
      </c>
      <c r="AL155" s="8" t="s">
        <v>261</v>
      </c>
      <c r="AM155" s="8" t="s">
        <v>303</v>
      </c>
      <c r="AN155" s="8" t="s">
        <v>639</v>
      </c>
      <c r="AO155" s="8" t="s">
        <v>340</v>
      </c>
      <c r="AP155" s="35" t="s">
        <v>265</v>
      </c>
      <c r="AQ155" s="39" t="n">
        <v>59.6</v>
      </c>
      <c r="AR155" s="39" t="n">
        <v>4.1</v>
      </c>
      <c r="AS155" s="33" t="n">
        <v>101</v>
      </c>
      <c r="AT155" s="45" t="n">
        <v>727</v>
      </c>
      <c r="AU155" s="45" t="n">
        <v>406.72</v>
      </c>
      <c r="AV155" s="45"/>
      <c r="AW155" s="39" t="n">
        <v>82</v>
      </c>
      <c r="AX155" s="39" t="n">
        <v>72.5</v>
      </c>
      <c r="AY155" s="39" t="n">
        <v>32.9</v>
      </c>
      <c r="AZ155" s="39" t="n">
        <v>24</v>
      </c>
      <c r="BA155" s="39" t="n">
        <v>0</v>
      </c>
      <c r="BB155" s="39" t="n">
        <v>20.5</v>
      </c>
      <c r="BC155" s="8" t="s">
        <v>663</v>
      </c>
      <c r="BD155" s="47" t="s">
        <v>317</v>
      </c>
      <c r="BE155" s="41" t="s">
        <v>664</v>
      </c>
    </row>
    <row r="156" customFormat="false" ht="15" hidden="false" customHeight="false" outlineLevel="0" collapsed="false">
      <c r="A156" s="33" t="n">
        <f aca="false">RANK(B156,$B$5:$B$266)</f>
        <v>151</v>
      </c>
      <c r="B156" s="34" t="n">
        <f aca="false">ROUND((AW156*'Scoring Weights'!$B$5+AX156*'Scoring Weights'!$B$6+AY156*'Scoring Weights'!$B$7+BA156*'Scoring Weights'!$B$8+AZ156*'Scoring Weights'!$B$9+BB156*'Scoring Weights'!$B$10)/MAX('Scoring Weights'!$B$11,1),1)</f>
        <v>47.6</v>
      </c>
      <c r="C156" s="35" t="str">
        <f aca="false">IF(AND(H156&lt;='Search Criteria'!$B$5,D156&gt;='Search Criteria'!$B$6,AQ156&lt;='Search Criteria'!$B$7,I156&lt;=INDEX('Search Criteria'!$B$18:$B$20,MATCH(E156,'Search Criteria'!$A$18:$A$20,0)),OR(NOT('Search Criteria'!$B$8),L156&lt;&gt;"FWD"),OR(NOT('Search Criteria'!$B$9),T156="Yes"),OR(NOT('Search Criteria'!$B$10),W156&gt;0),OR(NOT('Search Criteria'!$B$11),X156="Yes"),OR(NOT('Search Criteria'!$B$12),O156="GREAT",O156="GOOD"),OR(NOT('Search Criteria'!$B$13),K156="Yes")),"YES","no")</f>
        <v>no</v>
      </c>
      <c r="D156" s="33" t="n">
        <v>2024</v>
      </c>
      <c r="E156" s="8" t="s">
        <v>94</v>
      </c>
      <c r="F156" s="8" t="s">
        <v>232</v>
      </c>
      <c r="G156" s="8" t="s">
        <v>301</v>
      </c>
      <c r="H156" s="45" t="n">
        <v>34309</v>
      </c>
      <c r="I156" s="46" t="n">
        <v>26187</v>
      </c>
      <c r="J156" s="37" t="n">
        <f aca="false">IFERROR(ROUND(I156/MAX(2026-D156,0.5),0),"")</f>
        <v>13094</v>
      </c>
      <c r="K156" s="35" t="s">
        <v>259</v>
      </c>
      <c r="L156" s="35" t="s">
        <v>256</v>
      </c>
      <c r="M156" s="35" t="s">
        <v>302</v>
      </c>
      <c r="N156" s="33" t="n">
        <v>37</v>
      </c>
      <c r="O156" s="35" t="s">
        <v>297</v>
      </c>
      <c r="P156" s="45" t="n">
        <v>33098</v>
      </c>
      <c r="Q156" s="38" t="n">
        <v>-0.037</v>
      </c>
      <c r="R156" s="35" t="s">
        <v>277</v>
      </c>
      <c r="S156" s="45"/>
      <c r="T156" s="35" t="s">
        <v>259</v>
      </c>
      <c r="U156" s="33" t="n">
        <v>1</v>
      </c>
      <c r="V156" s="35" t="s">
        <v>255</v>
      </c>
      <c r="W156" s="33" t="n">
        <v>5</v>
      </c>
      <c r="X156" s="35" t="s">
        <v>255</v>
      </c>
      <c r="Y156" s="35" t="s">
        <v>255</v>
      </c>
      <c r="Z156" s="35" t="s">
        <v>259</v>
      </c>
      <c r="AA156" s="35" t="s">
        <v>255</v>
      </c>
      <c r="AB156" s="35" t="s">
        <v>255</v>
      </c>
      <c r="AC156" s="35" t="s">
        <v>259</v>
      </c>
      <c r="AD156" s="35" t="s">
        <v>255</v>
      </c>
      <c r="AE156" s="35" t="s">
        <v>259</v>
      </c>
      <c r="AF156" s="35" t="s">
        <v>259</v>
      </c>
      <c r="AG156" s="35" t="s">
        <v>259</v>
      </c>
      <c r="AH156" s="35" t="s">
        <v>259</v>
      </c>
      <c r="AI156" s="35" t="s">
        <v>255</v>
      </c>
      <c r="AJ156" s="35" t="s">
        <v>259</v>
      </c>
      <c r="AK156" s="8" t="s">
        <v>292</v>
      </c>
      <c r="AL156" s="8" t="s">
        <v>261</v>
      </c>
      <c r="AM156" s="8" t="s">
        <v>303</v>
      </c>
      <c r="AN156" s="8" t="s">
        <v>270</v>
      </c>
      <c r="AO156" s="8" t="s">
        <v>271</v>
      </c>
      <c r="AP156" s="35" t="s">
        <v>272</v>
      </c>
      <c r="AQ156" s="39" t="n">
        <v>71</v>
      </c>
      <c r="AR156" s="39" t="n">
        <v>4.7</v>
      </c>
      <c r="AS156" s="33" t="n">
        <v>12</v>
      </c>
      <c r="AT156" s="45"/>
      <c r="AU156" s="45" t="n">
        <v>612.88</v>
      </c>
      <c r="AV156" s="45" t="n">
        <v>314</v>
      </c>
      <c r="AW156" s="39" t="n">
        <v>80.4</v>
      </c>
      <c r="AX156" s="39" t="n">
        <v>47.3</v>
      </c>
      <c r="AY156" s="39" t="n">
        <v>56.1</v>
      </c>
      <c r="AZ156" s="39" t="n">
        <v>42</v>
      </c>
      <c r="BA156" s="39" t="n">
        <v>0</v>
      </c>
      <c r="BB156" s="39" t="n">
        <v>5.4</v>
      </c>
      <c r="BC156" s="8" t="s">
        <v>665</v>
      </c>
      <c r="BD156" s="47" t="s">
        <v>307</v>
      </c>
      <c r="BE156" s="41" t="s">
        <v>666</v>
      </c>
    </row>
    <row r="157" customFormat="false" ht="15" hidden="false" customHeight="false" outlineLevel="0" collapsed="false">
      <c r="A157" s="33" t="n">
        <f aca="false">RANK(B157,$B$5:$B$266)</f>
        <v>153</v>
      </c>
      <c r="B157" s="34" t="n">
        <f aca="false">ROUND((AW157*'Scoring Weights'!$B$5+AX157*'Scoring Weights'!$B$6+AY157*'Scoring Weights'!$B$7+BA157*'Scoring Weights'!$B$8+AZ157*'Scoring Weights'!$B$9+BB157*'Scoring Weights'!$B$10)/MAX('Scoring Weights'!$B$11,1),1)</f>
        <v>47.5</v>
      </c>
      <c r="C157" s="35" t="str">
        <f aca="false">IF(AND(H157&lt;='Search Criteria'!$B$5,D157&gt;='Search Criteria'!$B$6,AQ157&lt;='Search Criteria'!$B$7,I157&lt;=INDEX('Search Criteria'!$B$18:$B$20,MATCH(E157,'Search Criteria'!$A$18:$A$20,0)),OR(NOT('Search Criteria'!$B$8),L157&lt;&gt;"FWD"),OR(NOT('Search Criteria'!$B$9),T157="Yes"),OR(NOT('Search Criteria'!$B$10),W157&gt;0),OR(NOT('Search Criteria'!$B$11),X157="Yes"),OR(NOT('Search Criteria'!$B$12),O157="GREAT",O157="GOOD"),OR(NOT('Search Criteria'!$B$13),K157="Yes")),"YES","no")</f>
        <v>no</v>
      </c>
      <c r="D157" s="33" t="n">
        <v>2023</v>
      </c>
      <c r="E157" s="8" t="s">
        <v>94</v>
      </c>
      <c r="F157" s="8" t="s">
        <v>232</v>
      </c>
      <c r="G157" s="8" t="s">
        <v>268</v>
      </c>
      <c r="H157" s="45" t="n">
        <v>29676</v>
      </c>
      <c r="I157" s="46" t="n">
        <v>50878</v>
      </c>
      <c r="J157" s="37" t="n">
        <f aca="false">IFERROR(ROUND(I157/MAX(2026-D157,0.5),0),"")</f>
        <v>16959</v>
      </c>
      <c r="K157" s="35" t="s">
        <v>259</v>
      </c>
      <c r="L157" s="35" t="s">
        <v>256</v>
      </c>
      <c r="M157" s="35" t="s">
        <v>257</v>
      </c>
      <c r="N157" s="33" t="n">
        <v>29</v>
      </c>
      <c r="O157" s="35" t="s">
        <v>297</v>
      </c>
      <c r="P157" s="45" t="n">
        <v>30254</v>
      </c>
      <c r="Q157" s="38" t="n">
        <v>0.019</v>
      </c>
      <c r="R157" s="35" t="s">
        <v>258</v>
      </c>
      <c r="S157" s="45" t="n">
        <v>600</v>
      </c>
      <c r="T157" s="35" t="s">
        <v>255</v>
      </c>
      <c r="U157" s="33" t="n">
        <v>1</v>
      </c>
      <c r="V157" s="35" t="s">
        <v>255</v>
      </c>
      <c r="W157" s="33" t="n">
        <v>15</v>
      </c>
      <c r="X157" s="35" t="s">
        <v>255</v>
      </c>
      <c r="Y157" s="35" t="s">
        <v>255</v>
      </c>
      <c r="Z157" s="35" t="s">
        <v>259</v>
      </c>
      <c r="AA157" s="35" t="s">
        <v>255</v>
      </c>
      <c r="AB157" s="35" t="s">
        <v>255</v>
      </c>
      <c r="AC157" s="35" t="s">
        <v>259</v>
      </c>
      <c r="AD157" s="35" t="s">
        <v>259</v>
      </c>
      <c r="AE157" s="35" t="s">
        <v>259</v>
      </c>
      <c r="AF157" s="35" t="s">
        <v>259</v>
      </c>
      <c r="AG157" s="35" t="s">
        <v>259</v>
      </c>
      <c r="AH157" s="35" t="s">
        <v>259</v>
      </c>
      <c r="AI157" s="35" t="s">
        <v>255</v>
      </c>
      <c r="AJ157" s="35" t="s">
        <v>259</v>
      </c>
      <c r="AK157" s="8" t="s">
        <v>260</v>
      </c>
      <c r="AL157" s="8" t="s">
        <v>261</v>
      </c>
      <c r="AM157" s="8" t="s">
        <v>262</v>
      </c>
      <c r="AN157" s="8" t="s">
        <v>315</v>
      </c>
      <c r="AO157" s="8" t="s">
        <v>294</v>
      </c>
      <c r="AP157" s="35" t="s">
        <v>272</v>
      </c>
      <c r="AQ157" s="39" t="n">
        <v>41.6</v>
      </c>
      <c r="AR157" s="39" t="n">
        <v>4.6</v>
      </c>
      <c r="AS157" s="33" t="n">
        <v>23</v>
      </c>
      <c r="AT157" s="45"/>
      <c r="AU157" s="45" t="n">
        <v>530.12</v>
      </c>
      <c r="AV157" s="45" t="n">
        <v>314</v>
      </c>
      <c r="AW157" s="39" t="n">
        <v>95.8</v>
      </c>
      <c r="AX157" s="39" t="n">
        <v>55.6</v>
      </c>
      <c r="AY157" s="39" t="n">
        <v>21.7</v>
      </c>
      <c r="AZ157" s="39" t="n">
        <v>30</v>
      </c>
      <c r="BA157" s="39" t="n">
        <v>0</v>
      </c>
      <c r="BB157" s="39" t="n">
        <v>44.5</v>
      </c>
      <c r="BC157" s="8" t="s">
        <v>667</v>
      </c>
      <c r="BD157" s="47" t="s">
        <v>330</v>
      </c>
      <c r="BE157" s="41" t="s">
        <v>668</v>
      </c>
    </row>
    <row r="158" customFormat="false" ht="15" hidden="false" customHeight="false" outlineLevel="0" collapsed="false">
      <c r="A158" s="33" t="n">
        <f aca="false">RANK(B158,$B$5:$B$266)</f>
        <v>154</v>
      </c>
      <c r="B158" s="34" t="n">
        <f aca="false">ROUND((AW158*'Scoring Weights'!$B$5+AX158*'Scoring Weights'!$B$6+AY158*'Scoring Weights'!$B$7+BA158*'Scoring Weights'!$B$8+AZ158*'Scoring Weights'!$B$9+BB158*'Scoring Weights'!$B$10)/MAX('Scoring Weights'!$B$11,1),1)</f>
        <v>47.1</v>
      </c>
      <c r="C158" s="35" t="str">
        <f aca="false">IF(AND(H158&lt;='Search Criteria'!$B$5,D158&gt;='Search Criteria'!$B$6,AQ158&lt;='Search Criteria'!$B$7,I158&lt;=INDEX('Search Criteria'!$B$18:$B$20,MATCH(E158,'Search Criteria'!$A$18:$A$20,0)),OR(NOT('Search Criteria'!$B$8),L158&lt;&gt;"FWD"),OR(NOT('Search Criteria'!$B$9),T158="Yes"),OR(NOT('Search Criteria'!$B$10),W158&gt;0),OR(NOT('Search Criteria'!$B$11),X158="Yes"),OR(NOT('Search Criteria'!$B$12),O158="GREAT",O158="GOOD"),OR(NOT('Search Criteria'!$B$13),K158="Yes")),"YES","no")</f>
        <v>YES</v>
      </c>
      <c r="D158" s="33" t="n">
        <v>2024</v>
      </c>
      <c r="E158" s="8" t="s">
        <v>95</v>
      </c>
      <c r="F158" s="8" t="s">
        <v>234</v>
      </c>
      <c r="G158" s="8" t="s">
        <v>407</v>
      </c>
      <c r="H158" s="45" t="n">
        <v>26314</v>
      </c>
      <c r="I158" s="46" t="n">
        <v>39922</v>
      </c>
      <c r="J158" s="37" t="n">
        <f aca="false">IFERROR(ROUND(I158/MAX(2026-D158,0.5),0),"")</f>
        <v>19961</v>
      </c>
      <c r="K158" s="35" t="s">
        <v>259</v>
      </c>
      <c r="L158" s="35" t="s">
        <v>256</v>
      </c>
      <c r="M158" s="35" t="s">
        <v>257</v>
      </c>
      <c r="N158" s="33" t="n">
        <v>28</v>
      </c>
      <c r="O158" s="35" t="s">
        <v>286</v>
      </c>
      <c r="P158" s="45" t="n">
        <v>28504</v>
      </c>
      <c r="Q158" s="38" t="n">
        <v>0.077</v>
      </c>
      <c r="R158" s="35" t="s">
        <v>286</v>
      </c>
      <c r="S158" s="45" t="n">
        <v>500</v>
      </c>
      <c r="T158" s="35" t="s">
        <v>255</v>
      </c>
      <c r="U158" s="33" t="n">
        <v>3</v>
      </c>
      <c r="V158" s="35" t="s">
        <v>255</v>
      </c>
      <c r="W158" s="33" t="n">
        <v>11</v>
      </c>
      <c r="X158" s="35" t="s">
        <v>255</v>
      </c>
      <c r="Y158" s="35" t="s">
        <v>255</v>
      </c>
      <c r="Z158" s="35" t="s">
        <v>259</v>
      </c>
      <c r="AA158" s="35" t="s">
        <v>255</v>
      </c>
      <c r="AB158" s="35" t="s">
        <v>255</v>
      </c>
      <c r="AC158" s="35" t="s">
        <v>255</v>
      </c>
      <c r="AD158" s="35" t="s">
        <v>255</v>
      </c>
      <c r="AE158" s="35" t="s">
        <v>259</v>
      </c>
      <c r="AF158" s="35" t="s">
        <v>255</v>
      </c>
      <c r="AG158" s="35" t="s">
        <v>259</v>
      </c>
      <c r="AH158" s="35" t="s">
        <v>259</v>
      </c>
      <c r="AI158" s="35" t="s">
        <v>255</v>
      </c>
      <c r="AJ158" s="35" t="s">
        <v>259</v>
      </c>
      <c r="AK158" s="8" t="s">
        <v>292</v>
      </c>
      <c r="AL158" s="8" t="s">
        <v>260</v>
      </c>
      <c r="AM158" s="8" t="s">
        <v>278</v>
      </c>
      <c r="AN158" s="8" t="s">
        <v>480</v>
      </c>
      <c r="AO158" s="8" t="s">
        <v>271</v>
      </c>
      <c r="AP158" s="35" t="s">
        <v>272</v>
      </c>
      <c r="AQ158" s="39" t="n">
        <v>74.5</v>
      </c>
      <c r="AR158" s="39" t="n">
        <v>4.6</v>
      </c>
      <c r="AS158" s="33" t="n">
        <v>45</v>
      </c>
      <c r="AT158" s="45"/>
      <c r="AU158" s="45" t="n">
        <v>470.06</v>
      </c>
      <c r="AV158" s="45" t="n">
        <v>314</v>
      </c>
      <c r="AW158" s="39" t="n">
        <v>72.7</v>
      </c>
      <c r="AX158" s="39" t="n">
        <v>76.9</v>
      </c>
      <c r="AY158" s="39" t="n">
        <v>14.1</v>
      </c>
      <c r="AZ158" s="39" t="n">
        <v>62</v>
      </c>
      <c r="BA158" s="39" t="n">
        <v>0</v>
      </c>
      <c r="BB158" s="39" t="n">
        <v>0.7</v>
      </c>
      <c r="BC158" s="8" t="s">
        <v>669</v>
      </c>
      <c r="BD158" s="47" t="s">
        <v>423</v>
      </c>
      <c r="BE158" s="41" t="s">
        <v>191</v>
      </c>
    </row>
    <row r="159" customFormat="false" ht="15" hidden="false" customHeight="false" outlineLevel="0" collapsed="false">
      <c r="A159" s="33" t="n">
        <f aca="false">RANK(B159,$B$5:$B$266)</f>
        <v>154</v>
      </c>
      <c r="B159" s="34" t="n">
        <f aca="false">ROUND((AW159*'Scoring Weights'!$B$5+AX159*'Scoring Weights'!$B$6+AY159*'Scoring Weights'!$B$7+BA159*'Scoring Weights'!$B$8+AZ159*'Scoring Weights'!$B$9+BB159*'Scoring Weights'!$B$10)/MAX('Scoring Weights'!$B$11,1),1)</f>
        <v>47.1</v>
      </c>
      <c r="C159" s="35" t="str">
        <f aca="false">IF(AND(H159&lt;='Search Criteria'!$B$5,D159&gt;='Search Criteria'!$B$6,AQ159&lt;='Search Criteria'!$B$7,I159&lt;=INDEX('Search Criteria'!$B$18:$B$20,MATCH(E159,'Search Criteria'!$A$18:$A$20,0)),OR(NOT('Search Criteria'!$B$8),L159&lt;&gt;"FWD"),OR(NOT('Search Criteria'!$B$9),T159="Yes"),OR(NOT('Search Criteria'!$B$10),W159&gt;0),OR(NOT('Search Criteria'!$B$11),X159="Yes"),OR(NOT('Search Criteria'!$B$12),O159="GREAT",O159="GOOD"),OR(NOT('Search Criteria'!$B$13),K159="Yes")),"YES","no")</f>
        <v>no</v>
      </c>
      <c r="D159" s="33" t="n">
        <v>2025</v>
      </c>
      <c r="E159" s="8" t="s">
        <v>94</v>
      </c>
      <c r="F159" s="8" t="s">
        <v>233</v>
      </c>
      <c r="G159" s="8" t="s">
        <v>301</v>
      </c>
      <c r="H159" s="45" t="n">
        <v>27738</v>
      </c>
      <c r="I159" s="46" t="n">
        <v>30537</v>
      </c>
      <c r="J159" s="37" t="n">
        <f aca="false">IFERROR(ROUND(I159/MAX(2026-D159,0.5),0),"")</f>
        <v>30537</v>
      </c>
      <c r="K159" s="35" t="s">
        <v>259</v>
      </c>
      <c r="L159" s="35" t="s">
        <v>256</v>
      </c>
      <c r="M159" s="35" t="s">
        <v>257</v>
      </c>
      <c r="N159" s="33" t="n">
        <v>27</v>
      </c>
      <c r="O159" s="35" t="s">
        <v>297</v>
      </c>
      <c r="P159" s="45" t="n">
        <v>26551</v>
      </c>
      <c r="Q159" s="38" t="n">
        <v>-0.045</v>
      </c>
      <c r="R159" s="35" t="s">
        <v>258</v>
      </c>
      <c r="S159" s="45" t="n">
        <v>670</v>
      </c>
      <c r="T159" s="35" t="s">
        <v>255</v>
      </c>
      <c r="U159" s="33" t="n">
        <v>1</v>
      </c>
      <c r="V159" s="35" t="s">
        <v>255</v>
      </c>
      <c r="W159" s="33" t="n">
        <v>9</v>
      </c>
      <c r="X159" s="35" t="s">
        <v>255</v>
      </c>
      <c r="Y159" s="35" t="s">
        <v>255</v>
      </c>
      <c r="Z159" s="35" t="s">
        <v>259</v>
      </c>
      <c r="AA159" s="35" t="s">
        <v>259</v>
      </c>
      <c r="AB159" s="35" t="s">
        <v>255</v>
      </c>
      <c r="AC159" s="35" t="s">
        <v>259</v>
      </c>
      <c r="AD159" s="35" t="s">
        <v>255</v>
      </c>
      <c r="AE159" s="35" t="s">
        <v>259</v>
      </c>
      <c r="AF159" s="35" t="s">
        <v>259</v>
      </c>
      <c r="AG159" s="35" t="s">
        <v>259</v>
      </c>
      <c r="AH159" s="35" t="s">
        <v>259</v>
      </c>
      <c r="AI159" s="35" t="s">
        <v>259</v>
      </c>
      <c r="AJ159" s="35" t="s">
        <v>259</v>
      </c>
      <c r="AK159" s="8" t="s">
        <v>261</v>
      </c>
      <c r="AL159" s="8" t="s">
        <v>261</v>
      </c>
      <c r="AM159" s="8" t="s">
        <v>303</v>
      </c>
      <c r="AN159" s="8" t="s">
        <v>378</v>
      </c>
      <c r="AO159" s="8" t="s">
        <v>379</v>
      </c>
      <c r="AP159" s="35" t="s">
        <v>265</v>
      </c>
      <c r="AQ159" s="39" t="n">
        <v>46.9</v>
      </c>
      <c r="AR159" s="39" t="n">
        <v>4.7</v>
      </c>
      <c r="AS159" s="33" t="n">
        <v>11</v>
      </c>
      <c r="AT159" s="45" t="n">
        <v>-738</v>
      </c>
      <c r="AU159" s="45" t="n">
        <v>495.5</v>
      </c>
      <c r="AV159" s="45" t="n">
        <v>261</v>
      </c>
      <c r="AW159" s="39" t="n">
        <v>94.6</v>
      </c>
      <c r="AX159" s="39" t="n">
        <v>46</v>
      </c>
      <c r="AY159" s="39" t="n">
        <v>39.5</v>
      </c>
      <c r="AZ159" s="39" t="n">
        <v>24</v>
      </c>
      <c r="BA159" s="39" t="n">
        <v>0</v>
      </c>
      <c r="BB159" s="39" t="n">
        <v>37.5</v>
      </c>
      <c r="BC159" s="8" t="s">
        <v>670</v>
      </c>
      <c r="BD159" s="47" t="s">
        <v>390</v>
      </c>
      <c r="BE159" s="41" t="s">
        <v>671</v>
      </c>
    </row>
    <row r="160" customFormat="false" ht="15" hidden="false" customHeight="false" outlineLevel="0" collapsed="false">
      <c r="A160" s="33" t="n">
        <f aca="false">RANK(B160,$B$5:$B$266)</f>
        <v>156</v>
      </c>
      <c r="B160" s="34" t="n">
        <f aca="false">ROUND((AW160*'Scoring Weights'!$B$5+AX160*'Scoring Weights'!$B$6+AY160*'Scoring Weights'!$B$7+BA160*'Scoring Weights'!$B$8+AZ160*'Scoring Weights'!$B$9+BB160*'Scoring Weights'!$B$10)/MAX('Scoring Weights'!$B$11,1),1)</f>
        <v>46.9</v>
      </c>
      <c r="C160" s="35" t="str">
        <f aca="false">IF(AND(H160&lt;='Search Criteria'!$B$5,D160&gt;='Search Criteria'!$B$6,AQ160&lt;='Search Criteria'!$B$7,I160&lt;=INDEX('Search Criteria'!$B$18:$B$20,MATCH(E160,'Search Criteria'!$A$18:$A$20,0)),OR(NOT('Search Criteria'!$B$8),L160&lt;&gt;"FWD"),OR(NOT('Search Criteria'!$B$9),T160="Yes"),OR(NOT('Search Criteria'!$B$10),W160&gt;0),OR(NOT('Search Criteria'!$B$11),X160="Yes"),OR(NOT('Search Criteria'!$B$12),O160="GREAT",O160="GOOD"),OR(NOT('Search Criteria'!$B$13),K160="Yes")),"YES","no")</f>
        <v>no</v>
      </c>
      <c r="D160" s="33" t="n">
        <v>2025</v>
      </c>
      <c r="E160" s="8" t="s">
        <v>92</v>
      </c>
      <c r="F160" s="8" t="s">
        <v>236</v>
      </c>
      <c r="G160" s="8" t="s">
        <v>296</v>
      </c>
      <c r="H160" s="45" t="n">
        <v>35170</v>
      </c>
      <c r="I160" s="46" t="n">
        <v>33367</v>
      </c>
      <c r="J160" s="37" t="n">
        <f aca="false">IFERROR(ROUND(I160/MAX(2026-D160,0.5),0),"")</f>
        <v>33367</v>
      </c>
      <c r="K160" s="35" t="s">
        <v>259</v>
      </c>
      <c r="L160" s="35" t="s">
        <v>256</v>
      </c>
      <c r="M160" s="35" t="s">
        <v>257</v>
      </c>
      <c r="N160" s="33" t="n">
        <v>28</v>
      </c>
      <c r="O160" s="35" t="s">
        <v>276</v>
      </c>
      <c r="P160" s="45" t="n">
        <v>34508</v>
      </c>
      <c r="Q160" s="38" t="n">
        <v>-0.019</v>
      </c>
      <c r="R160" s="35" t="s">
        <v>277</v>
      </c>
      <c r="S160" s="45"/>
      <c r="T160" s="35" t="s">
        <v>255</v>
      </c>
      <c r="U160" s="33" t="n">
        <v>1</v>
      </c>
      <c r="V160" s="35" t="s">
        <v>259</v>
      </c>
      <c r="W160" s="33" t="n">
        <v>1</v>
      </c>
      <c r="X160" s="35" t="s">
        <v>259</v>
      </c>
      <c r="Y160" s="35" t="s">
        <v>255</v>
      </c>
      <c r="Z160" s="35" t="s">
        <v>259</v>
      </c>
      <c r="AA160" s="35" t="s">
        <v>259</v>
      </c>
      <c r="AB160" s="35" t="s">
        <v>255</v>
      </c>
      <c r="AC160" s="35" t="s">
        <v>259</v>
      </c>
      <c r="AD160" s="35" t="s">
        <v>259</v>
      </c>
      <c r="AE160" s="35" t="s">
        <v>259</v>
      </c>
      <c r="AF160" s="35" t="s">
        <v>259</v>
      </c>
      <c r="AG160" s="35" t="s">
        <v>259</v>
      </c>
      <c r="AH160" s="35" t="s">
        <v>259</v>
      </c>
      <c r="AI160" s="35" t="s">
        <v>255</v>
      </c>
      <c r="AJ160" s="35" t="s">
        <v>259</v>
      </c>
      <c r="AK160" s="8" t="s">
        <v>261</v>
      </c>
      <c r="AL160" s="8" t="s">
        <v>261</v>
      </c>
      <c r="AM160" s="8" t="s">
        <v>278</v>
      </c>
      <c r="AN160" s="8" t="s">
        <v>355</v>
      </c>
      <c r="AO160" s="8" t="s">
        <v>356</v>
      </c>
      <c r="AP160" s="35" t="s">
        <v>272</v>
      </c>
      <c r="AQ160" s="39" t="n">
        <v>34.7</v>
      </c>
      <c r="AR160" s="39" t="n">
        <v>4.6</v>
      </c>
      <c r="AS160" s="33" t="n">
        <v>17</v>
      </c>
      <c r="AT160" s="45"/>
      <c r="AU160" s="45" t="n">
        <v>628.26</v>
      </c>
      <c r="AV160" s="45" t="n">
        <v>280</v>
      </c>
      <c r="AW160" s="39" t="n">
        <v>83.6</v>
      </c>
      <c r="AX160" s="39" t="n">
        <v>53.7</v>
      </c>
      <c r="AY160" s="39" t="n">
        <v>46.6</v>
      </c>
      <c r="AZ160" s="39" t="n">
        <v>16</v>
      </c>
      <c r="BA160" s="39" t="n">
        <v>0</v>
      </c>
      <c r="BB160" s="39" t="n">
        <v>53.7</v>
      </c>
      <c r="BC160" s="8" t="s">
        <v>672</v>
      </c>
      <c r="BD160" s="47" t="s">
        <v>290</v>
      </c>
      <c r="BE160" s="41" t="s">
        <v>673</v>
      </c>
    </row>
    <row r="161" customFormat="false" ht="15" hidden="false" customHeight="false" outlineLevel="0" collapsed="false">
      <c r="A161" s="33" t="n">
        <f aca="false">RANK(B161,$B$5:$B$266)</f>
        <v>157</v>
      </c>
      <c r="B161" s="34" t="n">
        <f aca="false">ROUND((AW161*'Scoring Weights'!$B$5+AX161*'Scoring Weights'!$B$6+AY161*'Scoring Weights'!$B$7+BA161*'Scoring Weights'!$B$8+AZ161*'Scoring Weights'!$B$9+BB161*'Scoring Weights'!$B$10)/MAX('Scoring Weights'!$B$11,1),1)</f>
        <v>46.8</v>
      </c>
      <c r="C161" s="35" t="str">
        <f aca="false">IF(AND(H161&lt;='Search Criteria'!$B$5,D161&gt;='Search Criteria'!$B$6,AQ161&lt;='Search Criteria'!$B$7,I161&lt;=INDEX('Search Criteria'!$B$18:$B$20,MATCH(E161,'Search Criteria'!$A$18:$A$20,0)),OR(NOT('Search Criteria'!$B$8),L161&lt;&gt;"FWD"),OR(NOT('Search Criteria'!$B$9),T161="Yes"),OR(NOT('Search Criteria'!$B$10),W161&gt;0),OR(NOT('Search Criteria'!$B$11),X161="Yes"),OR(NOT('Search Criteria'!$B$12),O161="GREAT",O161="GOOD"),OR(NOT('Search Criteria'!$B$13),K161="Yes")),"YES","no")</f>
        <v>no</v>
      </c>
      <c r="D161" s="33" t="n">
        <v>2025</v>
      </c>
      <c r="E161" s="8" t="s">
        <v>92</v>
      </c>
      <c r="F161" s="8" t="s">
        <v>236</v>
      </c>
      <c r="G161" s="8" t="s">
        <v>296</v>
      </c>
      <c r="H161" s="45" t="n">
        <v>36706</v>
      </c>
      <c r="I161" s="46" t="n">
        <v>35534</v>
      </c>
      <c r="J161" s="37" t="n">
        <f aca="false">IFERROR(ROUND(I161/MAX(2026-D161,0.5),0),"")</f>
        <v>35534</v>
      </c>
      <c r="K161" s="35" t="s">
        <v>259</v>
      </c>
      <c r="L161" s="35" t="s">
        <v>256</v>
      </c>
      <c r="M161" s="35" t="s">
        <v>302</v>
      </c>
      <c r="N161" s="33" t="n">
        <v>39</v>
      </c>
      <c r="O161" s="35" t="s">
        <v>276</v>
      </c>
      <c r="P161" s="45" t="n">
        <v>34335</v>
      </c>
      <c r="Q161" s="38" t="n">
        <v>-0.069</v>
      </c>
      <c r="R161" s="35" t="s">
        <v>258</v>
      </c>
      <c r="S161" s="45" t="n">
        <v>380</v>
      </c>
      <c r="T161" s="35" t="s">
        <v>255</v>
      </c>
      <c r="U161" s="33" t="n">
        <v>1</v>
      </c>
      <c r="V161" s="35" t="s">
        <v>259</v>
      </c>
      <c r="W161" s="33" t="n">
        <v>1</v>
      </c>
      <c r="X161" s="35" t="s">
        <v>259</v>
      </c>
      <c r="Y161" s="35" t="s">
        <v>255</v>
      </c>
      <c r="Z161" s="35" t="s">
        <v>259</v>
      </c>
      <c r="AA161" s="35" t="s">
        <v>259</v>
      </c>
      <c r="AB161" s="35" t="s">
        <v>255</v>
      </c>
      <c r="AC161" s="35" t="s">
        <v>259</v>
      </c>
      <c r="AD161" s="35" t="s">
        <v>259</v>
      </c>
      <c r="AE161" s="35" t="s">
        <v>259</v>
      </c>
      <c r="AF161" s="35" t="s">
        <v>259</v>
      </c>
      <c r="AG161" s="35" t="s">
        <v>259</v>
      </c>
      <c r="AH161" s="35" t="s">
        <v>259</v>
      </c>
      <c r="AI161" s="35" t="s">
        <v>255</v>
      </c>
      <c r="AJ161" s="35" t="s">
        <v>259</v>
      </c>
      <c r="AK161" s="8" t="s">
        <v>358</v>
      </c>
      <c r="AL161" s="8" t="s">
        <v>261</v>
      </c>
      <c r="AM161" s="8" t="s">
        <v>278</v>
      </c>
      <c r="AN161" s="8" t="s">
        <v>362</v>
      </c>
      <c r="AO161" s="8" t="s">
        <v>363</v>
      </c>
      <c r="AP161" s="35" t="s">
        <v>265</v>
      </c>
      <c r="AQ161" s="39" t="n">
        <v>7.6</v>
      </c>
      <c r="AR161" s="39" t="n">
        <v>4.7</v>
      </c>
      <c r="AS161" s="33" t="n">
        <v>32</v>
      </c>
      <c r="AT161" s="45"/>
      <c r="AU161" s="45" t="n">
        <v>655.7</v>
      </c>
      <c r="AV161" s="45" t="n">
        <v>250</v>
      </c>
      <c r="AW161" s="39" t="n">
        <v>83.6</v>
      </c>
      <c r="AX161" s="39" t="n">
        <v>46.2</v>
      </c>
      <c r="AY161" s="39" t="n">
        <v>45.1</v>
      </c>
      <c r="AZ161" s="39" t="n">
        <v>16</v>
      </c>
      <c r="BA161" s="39" t="n">
        <v>0</v>
      </c>
      <c r="BB161" s="39" t="n">
        <v>89.9</v>
      </c>
      <c r="BC161" s="8" t="s">
        <v>674</v>
      </c>
      <c r="BD161" s="47" t="s">
        <v>290</v>
      </c>
      <c r="BE161" s="41" t="s">
        <v>675</v>
      </c>
    </row>
    <row r="162" customFormat="false" ht="15" hidden="false" customHeight="false" outlineLevel="0" collapsed="false">
      <c r="A162" s="33" t="n">
        <f aca="false">RANK(B162,$B$5:$B$266)</f>
        <v>158</v>
      </c>
      <c r="B162" s="34" t="n">
        <f aca="false">ROUND((AW162*'Scoring Weights'!$B$5+AX162*'Scoring Weights'!$B$6+AY162*'Scoring Weights'!$B$7+BA162*'Scoring Weights'!$B$8+AZ162*'Scoring Weights'!$B$9+BB162*'Scoring Weights'!$B$10)/MAX('Scoring Weights'!$B$11,1),1)</f>
        <v>46.7</v>
      </c>
      <c r="C162" s="35" t="str">
        <f aca="false">IF(AND(H162&lt;='Search Criteria'!$B$5,D162&gt;='Search Criteria'!$B$6,AQ162&lt;='Search Criteria'!$B$7,I162&lt;=INDEX('Search Criteria'!$B$18:$B$20,MATCH(E162,'Search Criteria'!$A$18:$A$20,0)),OR(NOT('Search Criteria'!$B$8),L162&lt;&gt;"FWD"),OR(NOT('Search Criteria'!$B$9),T162="Yes"),OR(NOT('Search Criteria'!$B$10),W162&gt;0),OR(NOT('Search Criteria'!$B$11),X162="Yes"),OR(NOT('Search Criteria'!$B$12),O162="GREAT",O162="GOOD"),OR(NOT('Search Criteria'!$B$13),K162="Yes")),"YES","no")</f>
        <v>no</v>
      </c>
      <c r="D162" s="33" t="n">
        <v>2024</v>
      </c>
      <c r="E162" s="8" t="s">
        <v>95</v>
      </c>
      <c r="F162" s="8" t="s">
        <v>234</v>
      </c>
      <c r="G162" s="8" t="s">
        <v>275</v>
      </c>
      <c r="H162" s="45" t="n">
        <v>28005</v>
      </c>
      <c r="I162" s="46" t="n">
        <v>39910</v>
      </c>
      <c r="J162" s="37" t="n">
        <f aca="false">IFERROR(ROUND(I162/MAX(2026-D162,0.5),0),"")</f>
        <v>19955</v>
      </c>
      <c r="K162" s="35" t="s">
        <v>259</v>
      </c>
      <c r="L162" s="35" t="s">
        <v>256</v>
      </c>
      <c r="M162" s="35" t="s">
        <v>257</v>
      </c>
      <c r="N162" s="33" t="n">
        <v>28</v>
      </c>
      <c r="O162" s="35" t="s">
        <v>276</v>
      </c>
      <c r="P162" s="45" t="n">
        <v>28505</v>
      </c>
      <c r="Q162" s="38" t="n">
        <v>0.018</v>
      </c>
      <c r="R162" s="35" t="s">
        <v>277</v>
      </c>
      <c r="S162" s="45"/>
      <c r="T162" s="35" t="s">
        <v>255</v>
      </c>
      <c r="U162" s="33" t="n">
        <v>2</v>
      </c>
      <c r="V162" s="35" t="s">
        <v>259</v>
      </c>
      <c r="W162" s="33" t="n">
        <v>1</v>
      </c>
      <c r="X162" s="35" t="s">
        <v>255</v>
      </c>
      <c r="Y162" s="35" t="s">
        <v>255</v>
      </c>
      <c r="Z162" s="35" t="s">
        <v>255</v>
      </c>
      <c r="AA162" s="35" t="s">
        <v>255</v>
      </c>
      <c r="AB162" s="35" t="s">
        <v>255</v>
      </c>
      <c r="AC162" s="35" t="s">
        <v>255</v>
      </c>
      <c r="AD162" s="35" t="s">
        <v>255</v>
      </c>
      <c r="AE162" s="35" t="s">
        <v>259</v>
      </c>
      <c r="AF162" s="35" t="s">
        <v>255</v>
      </c>
      <c r="AG162" s="35" t="s">
        <v>259</v>
      </c>
      <c r="AH162" s="35" t="s">
        <v>255</v>
      </c>
      <c r="AI162" s="35" t="s">
        <v>255</v>
      </c>
      <c r="AJ162" s="35" t="s">
        <v>255</v>
      </c>
      <c r="AK162" s="8" t="s">
        <v>269</v>
      </c>
      <c r="AL162" s="8" t="s">
        <v>260</v>
      </c>
      <c r="AM162" s="8" t="s">
        <v>278</v>
      </c>
      <c r="AN162" s="8" t="s">
        <v>594</v>
      </c>
      <c r="AO162" s="8" t="s">
        <v>448</v>
      </c>
      <c r="AP162" s="35" t="s">
        <v>265</v>
      </c>
      <c r="AQ162" s="39" t="n">
        <v>16</v>
      </c>
      <c r="AR162" s="39" t="n">
        <v>4.5</v>
      </c>
      <c r="AS162" s="33" t="n">
        <v>53</v>
      </c>
      <c r="AT162" s="45" t="n">
        <v>2012</v>
      </c>
      <c r="AU162" s="45" t="n">
        <v>500.27</v>
      </c>
      <c r="AV162" s="45"/>
      <c r="AW162" s="39" t="n">
        <v>60.5</v>
      </c>
      <c r="AX162" s="39" t="n">
        <v>59.2</v>
      </c>
      <c r="AY162" s="39" t="n">
        <v>14.1</v>
      </c>
      <c r="AZ162" s="39" t="n">
        <v>82</v>
      </c>
      <c r="BA162" s="39" t="n">
        <v>0</v>
      </c>
      <c r="BB162" s="39" t="n">
        <v>78.7</v>
      </c>
      <c r="BC162" s="8" t="s">
        <v>676</v>
      </c>
      <c r="BD162" s="47" t="s">
        <v>423</v>
      </c>
      <c r="BE162" s="41" t="s">
        <v>677</v>
      </c>
    </row>
    <row r="163" customFormat="false" ht="15" hidden="false" customHeight="false" outlineLevel="0" collapsed="false">
      <c r="A163" s="33" t="n">
        <f aca="false">RANK(B163,$B$5:$B$266)</f>
        <v>158</v>
      </c>
      <c r="B163" s="34" t="n">
        <f aca="false">ROUND((AW163*'Scoring Weights'!$B$5+AX163*'Scoring Weights'!$B$6+AY163*'Scoring Weights'!$B$7+BA163*'Scoring Weights'!$B$8+AZ163*'Scoring Weights'!$B$9+BB163*'Scoring Weights'!$B$10)/MAX('Scoring Weights'!$B$11,1),1)</f>
        <v>46.7</v>
      </c>
      <c r="C163" s="35" t="str">
        <f aca="false">IF(AND(H163&lt;='Search Criteria'!$B$5,D163&gt;='Search Criteria'!$B$6,AQ163&lt;='Search Criteria'!$B$7,I163&lt;=INDEX('Search Criteria'!$B$18:$B$20,MATCH(E163,'Search Criteria'!$A$18:$A$20,0)),OR(NOT('Search Criteria'!$B$8),L163&lt;&gt;"FWD"),OR(NOT('Search Criteria'!$B$9),T163="Yes"),OR(NOT('Search Criteria'!$B$10),W163&gt;0),OR(NOT('Search Criteria'!$B$11),X163="Yes"),OR(NOT('Search Criteria'!$B$12),O163="GREAT",O163="GOOD"),OR(NOT('Search Criteria'!$B$13),K163="Yes")),"YES","no")</f>
        <v>no</v>
      </c>
      <c r="D163" s="33" t="n">
        <v>2024</v>
      </c>
      <c r="E163" s="8" t="s">
        <v>94</v>
      </c>
      <c r="F163" s="8" t="s">
        <v>232</v>
      </c>
      <c r="G163" s="8" t="s">
        <v>319</v>
      </c>
      <c r="H163" s="45" t="n">
        <v>29814</v>
      </c>
      <c r="I163" s="46" t="n">
        <v>29548</v>
      </c>
      <c r="J163" s="37" t="n">
        <f aca="false">IFERROR(ROUND(I163/MAX(2026-D163,0.5),0),"")</f>
        <v>14774</v>
      </c>
      <c r="K163" s="35" t="s">
        <v>259</v>
      </c>
      <c r="L163" s="35" t="s">
        <v>256</v>
      </c>
      <c r="M163" s="35" t="s">
        <v>257</v>
      </c>
      <c r="N163" s="33" t="n">
        <v>29</v>
      </c>
      <c r="O163" s="35" t="s">
        <v>297</v>
      </c>
      <c r="P163" s="45" t="n">
        <v>32865</v>
      </c>
      <c r="Q163" s="38" t="n">
        <v>0.093</v>
      </c>
      <c r="R163" s="35" t="s">
        <v>258</v>
      </c>
      <c r="S163" s="45" t="n">
        <v>560</v>
      </c>
      <c r="T163" s="35" t="s">
        <v>259</v>
      </c>
      <c r="U163" s="33" t="n">
        <v>1</v>
      </c>
      <c r="V163" s="35" t="s">
        <v>255</v>
      </c>
      <c r="W163" s="33" t="n">
        <v>9</v>
      </c>
      <c r="X163" s="35" t="s">
        <v>259</v>
      </c>
      <c r="Y163" s="35" t="s">
        <v>255</v>
      </c>
      <c r="Z163" s="35" t="s">
        <v>259</v>
      </c>
      <c r="AA163" s="35" t="s">
        <v>259</v>
      </c>
      <c r="AB163" s="35" t="s">
        <v>259</v>
      </c>
      <c r="AC163" s="35" t="s">
        <v>259</v>
      </c>
      <c r="AD163" s="35" t="s">
        <v>259</v>
      </c>
      <c r="AE163" s="35" t="s">
        <v>259</v>
      </c>
      <c r="AF163" s="35" t="s">
        <v>259</v>
      </c>
      <c r="AG163" s="35" t="s">
        <v>259</v>
      </c>
      <c r="AH163" s="35" t="s">
        <v>259</v>
      </c>
      <c r="AI163" s="35" t="s">
        <v>259</v>
      </c>
      <c r="AJ163" s="35" t="s">
        <v>259</v>
      </c>
      <c r="AK163" s="8" t="s">
        <v>260</v>
      </c>
      <c r="AL163" s="8" t="s">
        <v>261</v>
      </c>
      <c r="AM163" s="8" t="s">
        <v>262</v>
      </c>
      <c r="AN163" s="8" t="s">
        <v>315</v>
      </c>
      <c r="AO163" s="8" t="s">
        <v>294</v>
      </c>
      <c r="AP163" s="35" t="s">
        <v>272</v>
      </c>
      <c r="AQ163" s="39" t="n">
        <v>41.6</v>
      </c>
      <c r="AR163" s="39" t="n">
        <v>4.6</v>
      </c>
      <c r="AS163" s="33" t="n">
        <v>1</v>
      </c>
      <c r="AT163" s="45"/>
      <c r="AU163" s="45" t="n">
        <v>532.58</v>
      </c>
      <c r="AV163" s="45" t="n">
        <v>314</v>
      </c>
      <c r="AW163" s="39" t="n">
        <v>81</v>
      </c>
      <c r="AX163" s="39" t="n">
        <v>66.7</v>
      </c>
      <c r="AY163" s="39" t="n">
        <v>48.5</v>
      </c>
      <c r="AZ163" s="39" t="n">
        <v>0</v>
      </c>
      <c r="BA163" s="39" t="n">
        <v>0</v>
      </c>
      <c r="BB163" s="39" t="n">
        <v>44.5</v>
      </c>
      <c r="BC163" s="8" t="s">
        <v>678</v>
      </c>
      <c r="BD163" s="47" t="s">
        <v>307</v>
      </c>
      <c r="BE163" s="41" t="s">
        <v>679</v>
      </c>
    </row>
    <row r="164" customFormat="false" ht="15" hidden="false" customHeight="false" outlineLevel="0" collapsed="false">
      <c r="A164" s="33" t="n">
        <f aca="false">RANK(B164,$B$5:$B$266)</f>
        <v>158</v>
      </c>
      <c r="B164" s="34" t="n">
        <f aca="false">ROUND((AW164*'Scoring Weights'!$B$5+AX164*'Scoring Weights'!$B$6+AY164*'Scoring Weights'!$B$7+BA164*'Scoring Weights'!$B$8+AZ164*'Scoring Weights'!$B$9+BB164*'Scoring Weights'!$B$10)/MAX('Scoring Weights'!$B$11,1),1)</f>
        <v>46.7</v>
      </c>
      <c r="C164" s="35" t="str">
        <f aca="false">IF(AND(H164&lt;='Search Criteria'!$B$5,D164&gt;='Search Criteria'!$B$6,AQ164&lt;='Search Criteria'!$B$7,I164&lt;=INDEX('Search Criteria'!$B$18:$B$20,MATCH(E164,'Search Criteria'!$A$18:$A$20,0)),OR(NOT('Search Criteria'!$B$8),L164&lt;&gt;"FWD"),OR(NOT('Search Criteria'!$B$9),T164="Yes"),OR(NOT('Search Criteria'!$B$10),W164&gt;0),OR(NOT('Search Criteria'!$B$11),X164="Yes"),OR(NOT('Search Criteria'!$B$12),O164="GREAT",O164="GOOD"),OR(NOT('Search Criteria'!$B$13),K164="Yes")),"YES","no")</f>
        <v>no</v>
      </c>
      <c r="D164" s="33" t="n">
        <v>2024</v>
      </c>
      <c r="E164" s="8" t="s">
        <v>95</v>
      </c>
      <c r="F164" s="8" t="s">
        <v>234</v>
      </c>
      <c r="G164" s="8" t="s">
        <v>275</v>
      </c>
      <c r="H164" s="45" t="n">
        <v>28768</v>
      </c>
      <c r="I164" s="46" t="n">
        <v>58139</v>
      </c>
      <c r="J164" s="37" t="n">
        <f aca="false">IFERROR(ROUND(I164/MAX(2026-D164,0.5),0),"")</f>
        <v>29070</v>
      </c>
      <c r="K164" s="35" t="s">
        <v>259</v>
      </c>
      <c r="L164" s="35" t="s">
        <v>256</v>
      </c>
      <c r="M164" s="35" t="s">
        <v>257</v>
      </c>
      <c r="N164" s="33" t="n">
        <v>28</v>
      </c>
      <c r="O164" s="35" t="s">
        <v>276</v>
      </c>
      <c r="P164" s="45" t="n">
        <v>26569</v>
      </c>
      <c r="Q164" s="38" t="n">
        <v>-0.083</v>
      </c>
      <c r="R164" s="35" t="s">
        <v>258</v>
      </c>
      <c r="S164" s="45" t="n">
        <v>200</v>
      </c>
      <c r="T164" s="35" t="s">
        <v>255</v>
      </c>
      <c r="U164" s="33" t="n">
        <v>1</v>
      </c>
      <c r="V164" s="35" t="s">
        <v>255</v>
      </c>
      <c r="W164" s="33" t="n">
        <v>5</v>
      </c>
      <c r="X164" s="35" t="s">
        <v>255</v>
      </c>
      <c r="Y164" s="35" t="s">
        <v>255</v>
      </c>
      <c r="Z164" s="35" t="s">
        <v>255</v>
      </c>
      <c r="AA164" s="35" t="s">
        <v>255</v>
      </c>
      <c r="AB164" s="35" t="s">
        <v>255</v>
      </c>
      <c r="AC164" s="35" t="s">
        <v>255</v>
      </c>
      <c r="AD164" s="35" t="s">
        <v>255</v>
      </c>
      <c r="AE164" s="35" t="s">
        <v>259</v>
      </c>
      <c r="AF164" s="35" t="s">
        <v>255</v>
      </c>
      <c r="AG164" s="35" t="s">
        <v>259</v>
      </c>
      <c r="AH164" s="35" t="s">
        <v>255</v>
      </c>
      <c r="AI164" s="35" t="s">
        <v>255</v>
      </c>
      <c r="AJ164" s="35" t="s">
        <v>255</v>
      </c>
      <c r="AK164" s="8" t="s">
        <v>367</v>
      </c>
      <c r="AL164" s="8" t="s">
        <v>261</v>
      </c>
      <c r="AM164" s="8" t="s">
        <v>278</v>
      </c>
      <c r="AN164" s="8" t="s">
        <v>384</v>
      </c>
      <c r="AO164" s="8" t="s">
        <v>340</v>
      </c>
      <c r="AP164" s="35" t="s">
        <v>265</v>
      </c>
      <c r="AQ164" s="39" t="n">
        <v>59.8</v>
      </c>
      <c r="AR164" s="39" t="n">
        <v>4.8</v>
      </c>
      <c r="AS164" s="33" t="n">
        <v>2</v>
      </c>
      <c r="AT164" s="45"/>
      <c r="AU164" s="45" t="n">
        <v>513.9</v>
      </c>
      <c r="AV164" s="45" t="n">
        <v>268</v>
      </c>
      <c r="AW164" s="39" t="n">
        <v>94</v>
      </c>
      <c r="AX164" s="39" t="n">
        <v>44.2</v>
      </c>
      <c r="AY164" s="39" t="n">
        <v>0</v>
      </c>
      <c r="AZ164" s="39" t="n">
        <v>82</v>
      </c>
      <c r="BA164" s="39" t="n">
        <v>0</v>
      </c>
      <c r="BB164" s="39" t="n">
        <v>20.3</v>
      </c>
      <c r="BC164" s="8" t="s">
        <v>680</v>
      </c>
      <c r="BD164" s="47" t="s">
        <v>423</v>
      </c>
      <c r="BE164" s="41" t="s">
        <v>681</v>
      </c>
    </row>
    <row r="165" customFormat="false" ht="15" hidden="false" customHeight="false" outlineLevel="0" collapsed="false">
      <c r="A165" s="33" t="n">
        <f aca="false">RANK(B165,$B$5:$B$266)</f>
        <v>161</v>
      </c>
      <c r="B165" s="34" t="n">
        <f aca="false">ROUND((AW165*'Scoring Weights'!$B$5+AX165*'Scoring Weights'!$B$6+AY165*'Scoring Weights'!$B$7+BA165*'Scoring Weights'!$B$8+AZ165*'Scoring Weights'!$B$9+BB165*'Scoring Weights'!$B$10)/MAX('Scoring Weights'!$B$11,1),1)</f>
        <v>46.6</v>
      </c>
      <c r="C165" s="35" t="str">
        <f aca="false">IF(AND(H165&lt;='Search Criteria'!$B$5,D165&gt;='Search Criteria'!$B$6,AQ165&lt;='Search Criteria'!$B$7,I165&lt;=INDEX('Search Criteria'!$B$18:$B$20,MATCH(E165,'Search Criteria'!$A$18:$A$20,0)),OR(NOT('Search Criteria'!$B$8),L165&lt;&gt;"FWD"),OR(NOT('Search Criteria'!$B$9),T165="Yes"),OR(NOT('Search Criteria'!$B$10),W165&gt;0),OR(NOT('Search Criteria'!$B$11),X165="Yes"),OR(NOT('Search Criteria'!$B$12),O165="GREAT",O165="GOOD"),OR(NOT('Search Criteria'!$B$13),K165="Yes")),"YES","no")</f>
        <v>no</v>
      </c>
      <c r="D165" s="33" t="n">
        <v>2025</v>
      </c>
      <c r="E165" s="8" t="s">
        <v>92</v>
      </c>
      <c r="F165" s="8" t="s">
        <v>236</v>
      </c>
      <c r="G165" s="8" t="s">
        <v>296</v>
      </c>
      <c r="H165" s="45" t="n">
        <v>34989</v>
      </c>
      <c r="I165" s="46" t="n">
        <v>44464</v>
      </c>
      <c r="J165" s="37" t="n">
        <f aca="false">IFERROR(ROUND(I165/MAX(2026-D165,0.5),0),"")</f>
        <v>44464</v>
      </c>
      <c r="K165" s="35" t="s">
        <v>259</v>
      </c>
      <c r="L165" s="35" t="s">
        <v>256</v>
      </c>
      <c r="M165" s="35" t="s">
        <v>302</v>
      </c>
      <c r="N165" s="33" t="n">
        <v>39</v>
      </c>
      <c r="O165" s="35" t="s">
        <v>276</v>
      </c>
      <c r="P165" s="45" t="n">
        <v>33622</v>
      </c>
      <c r="Q165" s="38" t="n">
        <v>-0.041</v>
      </c>
      <c r="R165" s="35" t="s">
        <v>258</v>
      </c>
      <c r="S165" s="45" t="n">
        <v>400</v>
      </c>
      <c r="T165" s="35" t="s">
        <v>255</v>
      </c>
      <c r="U165" s="33" t="n">
        <v>1</v>
      </c>
      <c r="V165" s="35" t="s">
        <v>259</v>
      </c>
      <c r="W165" s="33" t="n">
        <v>3</v>
      </c>
      <c r="X165" s="35" t="s">
        <v>259</v>
      </c>
      <c r="Y165" s="35" t="s">
        <v>255</v>
      </c>
      <c r="Z165" s="35" t="s">
        <v>259</v>
      </c>
      <c r="AA165" s="35" t="s">
        <v>259</v>
      </c>
      <c r="AB165" s="35" t="s">
        <v>255</v>
      </c>
      <c r="AC165" s="35" t="s">
        <v>259</v>
      </c>
      <c r="AD165" s="35" t="s">
        <v>259</v>
      </c>
      <c r="AE165" s="35" t="s">
        <v>259</v>
      </c>
      <c r="AF165" s="35" t="s">
        <v>259</v>
      </c>
      <c r="AG165" s="35" t="s">
        <v>259</v>
      </c>
      <c r="AH165" s="35" t="s">
        <v>259</v>
      </c>
      <c r="AI165" s="35" t="s">
        <v>255</v>
      </c>
      <c r="AJ165" s="35" t="s">
        <v>259</v>
      </c>
      <c r="AK165" s="8" t="s">
        <v>261</v>
      </c>
      <c r="AL165" s="8" t="s">
        <v>261</v>
      </c>
      <c r="AM165" s="8" t="s">
        <v>278</v>
      </c>
      <c r="AN165" s="8" t="s">
        <v>594</v>
      </c>
      <c r="AO165" s="8" t="s">
        <v>448</v>
      </c>
      <c r="AP165" s="35" t="s">
        <v>265</v>
      </c>
      <c r="AQ165" s="39" t="n">
        <v>16</v>
      </c>
      <c r="AR165" s="39" t="n">
        <v>4.5</v>
      </c>
      <c r="AS165" s="33" t="n">
        <v>34</v>
      </c>
      <c r="AT165" s="45"/>
      <c r="AU165" s="45" t="n">
        <v>625.03</v>
      </c>
      <c r="AV165" s="45"/>
      <c r="AW165" s="39" t="n">
        <v>86</v>
      </c>
      <c r="AX165" s="39" t="n">
        <v>50.5</v>
      </c>
      <c r="AY165" s="39" t="n">
        <v>38.9</v>
      </c>
      <c r="AZ165" s="39" t="n">
        <v>16</v>
      </c>
      <c r="BA165" s="39" t="n">
        <v>0</v>
      </c>
      <c r="BB165" s="39" t="n">
        <v>78.7</v>
      </c>
      <c r="BC165" s="8" t="s">
        <v>682</v>
      </c>
      <c r="BD165" s="47" t="s">
        <v>290</v>
      </c>
      <c r="BE165" s="41" t="s">
        <v>683</v>
      </c>
    </row>
    <row r="166" customFormat="false" ht="15" hidden="false" customHeight="false" outlineLevel="0" collapsed="false">
      <c r="A166" s="33" t="n">
        <f aca="false">RANK(B166,$B$5:$B$266)</f>
        <v>161</v>
      </c>
      <c r="B166" s="34" t="n">
        <f aca="false">ROUND((AW166*'Scoring Weights'!$B$5+AX166*'Scoring Weights'!$B$6+AY166*'Scoring Weights'!$B$7+BA166*'Scoring Weights'!$B$8+AZ166*'Scoring Weights'!$B$9+BB166*'Scoring Weights'!$B$10)/MAX('Scoring Weights'!$B$11,1),1)</f>
        <v>46.6</v>
      </c>
      <c r="C166" s="35" t="str">
        <f aca="false">IF(AND(H166&lt;='Search Criteria'!$B$5,D166&gt;='Search Criteria'!$B$6,AQ166&lt;='Search Criteria'!$B$7,I166&lt;=INDEX('Search Criteria'!$B$18:$B$20,MATCH(E166,'Search Criteria'!$A$18:$A$20,0)),OR(NOT('Search Criteria'!$B$8),L166&lt;&gt;"FWD"),OR(NOT('Search Criteria'!$B$9),T166="Yes"),OR(NOT('Search Criteria'!$B$10),W166&gt;0),OR(NOT('Search Criteria'!$B$11),X166="Yes"),OR(NOT('Search Criteria'!$B$12),O166="GREAT",O166="GOOD"),OR(NOT('Search Criteria'!$B$13),K166="Yes")),"YES","no")</f>
        <v>no</v>
      </c>
      <c r="D166" s="33" t="n">
        <v>2025</v>
      </c>
      <c r="E166" s="8" t="s">
        <v>92</v>
      </c>
      <c r="F166" s="8" t="s">
        <v>236</v>
      </c>
      <c r="G166" s="8" t="s">
        <v>296</v>
      </c>
      <c r="H166" s="45" t="n">
        <v>36015</v>
      </c>
      <c r="I166" s="46" t="n">
        <v>36666</v>
      </c>
      <c r="J166" s="37" t="n">
        <f aca="false">IFERROR(ROUND(I166/MAX(2026-D166,0.5),0),"")</f>
        <v>36666</v>
      </c>
      <c r="K166" s="35" t="s">
        <v>259</v>
      </c>
      <c r="L166" s="35" t="s">
        <v>256</v>
      </c>
      <c r="M166" s="35" t="s">
        <v>302</v>
      </c>
      <c r="N166" s="33" t="n">
        <v>39</v>
      </c>
      <c r="O166" s="35" t="s">
        <v>276</v>
      </c>
      <c r="P166" s="45" t="n">
        <v>34244</v>
      </c>
      <c r="Q166" s="38" t="n">
        <v>-0.052</v>
      </c>
      <c r="R166" s="35" t="s">
        <v>258</v>
      </c>
      <c r="S166" s="45" t="n">
        <v>400</v>
      </c>
      <c r="T166" s="35" t="s">
        <v>255</v>
      </c>
      <c r="U166" s="33" t="n">
        <v>1</v>
      </c>
      <c r="V166" s="35" t="s">
        <v>259</v>
      </c>
      <c r="W166" s="33" t="n">
        <v>1</v>
      </c>
      <c r="X166" s="35" t="s">
        <v>259</v>
      </c>
      <c r="Y166" s="35" t="s">
        <v>255</v>
      </c>
      <c r="Z166" s="35" t="s">
        <v>259</v>
      </c>
      <c r="AA166" s="35" t="s">
        <v>259</v>
      </c>
      <c r="AB166" s="35" t="s">
        <v>255</v>
      </c>
      <c r="AC166" s="35" t="s">
        <v>259</v>
      </c>
      <c r="AD166" s="35" t="s">
        <v>259</v>
      </c>
      <c r="AE166" s="35" t="s">
        <v>259</v>
      </c>
      <c r="AF166" s="35" t="s">
        <v>259</v>
      </c>
      <c r="AG166" s="35" t="s">
        <v>259</v>
      </c>
      <c r="AH166" s="35" t="s">
        <v>259</v>
      </c>
      <c r="AI166" s="35" t="s">
        <v>255</v>
      </c>
      <c r="AJ166" s="35" t="s">
        <v>259</v>
      </c>
      <c r="AK166" s="8" t="s">
        <v>292</v>
      </c>
      <c r="AL166" s="8" t="s">
        <v>261</v>
      </c>
      <c r="AM166" s="8" t="s">
        <v>278</v>
      </c>
      <c r="AN166" s="8" t="s">
        <v>594</v>
      </c>
      <c r="AO166" s="8" t="s">
        <v>448</v>
      </c>
      <c r="AP166" s="35" t="s">
        <v>265</v>
      </c>
      <c r="AQ166" s="39" t="n">
        <v>16</v>
      </c>
      <c r="AR166" s="39" t="n">
        <v>4.5</v>
      </c>
      <c r="AS166" s="33" t="n">
        <v>32</v>
      </c>
      <c r="AT166" s="45"/>
      <c r="AU166" s="45" t="n">
        <v>643.36</v>
      </c>
      <c r="AV166" s="45"/>
      <c r="AW166" s="39" t="n">
        <v>83.6</v>
      </c>
      <c r="AX166" s="39" t="n">
        <v>48.8</v>
      </c>
      <c r="AY166" s="39" t="n">
        <v>44.3</v>
      </c>
      <c r="AZ166" s="39" t="n">
        <v>16</v>
      </c>
      <c r="BA166" s="39" t="n">
        <v>0</v>
      </c>
      <c r="BB166" s="39" t="n">
        <v>78.7</v>
      </c>
      <c r="BC166" s="8" t="s">
        <v>684</v>
      </c>
      <c r="BD166" s="47" t="s">
        <v>290</v>
      </c>
      <c r="BE166" s="41" t="s">
        <v>685</v>
      </c>
    </row>
    <row r="167" customFormat="false" ht="15" hidden="false" customHeight="false" outlineLevel="0" collapsed="false">
      <c r="A167" s="33" t="n">
        <f aca="false">RANK(B167,$B$5:$B$266)</f>
        <v>161</v>
      </c>
      <c r="B167" s="34" t="n">
        <f aca="false">ROUND((AW167*'Scoring Weights'!$B$5+AX167*'Scoring Weights'!$B$6+AY167*'Scoring Weights'!$B$7+BA167*'Scoring Weights'!$B$8+AZ167*'Scoring Weights'!$B$9+BB167*'Scoring Weights'!$B$10)/MAX('Scoring Weights'!$B$11,1),1)</f>
        <v>46.6</v>
      </c>
      <c r="C167" s="35" t="str">
        <f aca="false">IF(AND(H167&lt;='Search Criteria'!$B$5,D167&gt;='Search Criteria'!$B$6,AQ167&lt;='Search Criteria'!$B$7,I167&lt;=INDEX('Search Criteria'!$B$18:$B$20,MATCH(E167,'Search Criteria'!$A$18:$A$20,0)),OR(NOT('Search Criteria'!$B$8),L167&lt;&gt;"FWD"),OR(NOT('Search Criteria'!$B$9),T167="Yes"),OR(NOT('Search Criteria'!$B$10),W167&gt;0),OR(NOT('Search Criteria'!$B$11),X167="Yes"),OR(NOT('Search Criteria'!$B$12),O167="GREAT",O167="GOOD"),OR(NOT('Search Criteria'!$B$13),K167="Yes")),"YES","no")</f>
        <v>no</v>
      </c>
      <c r="D167" s="33" t="n">
        <v>2025</v>
      </c>
      <c r="E167" s="8" t="s">
        <v>92</v>
      </c>
      <c r="F167" s="8" t="s">
        <v>236</v>
      </c>
      <c r="G167" s="8" t="s">
        <v>338</v>
      </c>
      <c r="H167" s="45" t="n">
        <v>28233</v>
      </c>
      <c r="I167" s="46" t="n">
        <v>52588</v>
      </c>
      <c r="J167" s="37" t="n">
        <f aca="false">IFERROR(ROUND(I167/MAX(2026-D167,0.5),0),"")</f>
        <v>52588</v>
      </c>
      <c r="K167" s="35" t="s">
        <v>259</v>
      </c>
      <c r="L167" s="35" t="s">
        <v>285</v>
      </c>
      <c r="M167" s="35" t="s">
        <v>257</v>
      </c>
      <c r="N167" s="33" t="n">
        <v>30</v>
      </c>
      <c r="O167" s="35" t="s">
        <v>297</v>
      </c>
      <c r="P167" s="45" t="n">
        <v>32973</v>
      </c>
      <c r="Q167" s="38" t="n">
        <v>0.144</v>
      </c>
      <c r="R167" s="35" t="s">
        <v>258</v>
      </c>
      <c r="S167" s="45" t="n">
        <v>310</v>
      </c>
      <c r="T167" s="35" t="s">
        <v>255</v>
      </c>
      <c r="U167" s="33" t="n">
        <v>1</v>
      </c>
      <c r="V167" s="35" t="s">
        <v>259</v>
      </c>
      <c r="W167" s="33" t="n">
        <v>0</v>
      </c>
      <c r="X167" s="35" t="s">
        <v>259</v>
      </c>
      <c r="Y167" s="35" t="s">
        <v>255</v>
      </c>
      <c r="Z167" s="35" t="s">
        <v>259</v>
      </c>
      <c r="AA167" s="35" t="s">
        <v>259</v>
      </c>
      <c r="AB167" s="35" t="s">
        <v>259</v>
      </c>
      <c r="AC167" s="35" t="s">
        <v>259</v>
      </c>
      <c r="AD167" s="35" t="s">
        <v>259</v>
      </c>
      <c r="AE167" s="35" t="s">
        <v>259</v>
      </c>
      <c r="AF167" s="35" t="s">
        <v>259</v>
      </c>
      <c r="AG167" s="35" t="s">
        <v>259</v>
      </c>
      <c r="AH167" s="35" t="s">
        <v>259</v>
      </c>
      <c r="AI167" s="35" t="s">
        <v>259</v>
      </c>
      <c r="AJ167" s="35" t="s">
        <v>259</v>
      </c>
      <c r="AK167" s="8" t="s">
        <v>269</v>
      </c>
      <c r="AL167" s="8" t="s">
        <v>261</v>
      </c>
      <c r="AM167" s="8" t="s">
        <v>278</v>
      </c>
      <c r="AN167" s="8" t="s">
        <v>375</v>
      </c>
      <c r="AO167" s="8" t="s">
        <v>376</v>
      </c>
      <c r="AP167" s="35" t="s">
        <v>265</v>
      </c>
      <c r="AQ167" s="39" t="n">
        <v>31.9</v>
      </c>
      <c r="AR167" s="39" t="n">
        <v>4.6</v>
      </c>
      <c r="AS167" s="33" t="n">
        <v>2</v>
      </c>
      <c r="AT167" s="45"/>
      <c r="AU167" s="45" t="n">
        <v>504.34</v>
      </c>
      <c r="AV167" s="45" t="n">
        <v>235</v>
      </c>
      <c r="AW167" s="39" t="n">
        <v>82.4</v>
      </c>
      <c r="AX167" s="39" t="n">
        <v>74.3</v>
      </c>
      <c r="AY167" s="39" t="n">
        <v>33.2</v>
      </c>
      <c r="AZ167" s="39" t="n">
        <v>0</v>
      </c>
      <c r="BA167" s="39" t="n">
        <v>0</v>
      </c>
      <c r="BB167" s="39" t="n">
        <v>57.4</v>
      </c>
      <c r="BC167" s="8" t="s">
        <v>686</v>
      </c>
      <c r="BD167" s="47" t="s">
        <v>290</v>
      </c>
      <c r="BE167" s="41" t="s">
        <v>687</v>
      </c>
    </row>
    <row r="168" customFormat="false" ht="15" hidden="false" customHeight="false" outlineLevel="0" collapsed="false">
      <c r="A168" s="33" t="n">
        <f aca="false">RANK(B168,$B$5:$B$266)</f>
        <v>164</v>
      </c>
      <c r="B168" s="34" t="n">
        <f aca="false">ROUND((AW168*'Scoring Weights'!$B$5+AX168*'Scoring Weights'!$B$6+AY168*'Scoring Weights'!$B$7+BA168*'Scoring Weights'!$B$8+AZ168*'Scoring Weights'!$B$9+BB168*'Scoring Weights'!$B$10)/MAX('Scoring Weights'!$B$11,1),1)</f>
        <v>46.5</v>
      </c>
      <c r="C168" s="35" t="str">
        <f aca="false">IF(AND(H168&lt;='Search Criteria'!$B$5,D168&gt;='Search Criteria'!$B$6,AQ168&lt;='Search Criteria'!$B$7,I168&lt;=INDEX('Search Criteria'!$B$18:$B$20,MATCH(E168,'Search Criteria'!$A$18:$A$20,0)),OR(NOT('Search Criteria'!$B$8),L168&lt;&gt;"FWD"),OR(NOT('Search Criteria'!$B$9),T168="Yes"),OR(NOT('Search Criteria'!$B$10),W168&gt;0),OR(NOT('Search Criteria'!$B$11),X168="Yes"),OR(NOT('Search Criteria'!$B$12),O168="GREAT",O168="GOOD"),OR(NOT('Search Criteria'!$B$13),K168="Yes")),"YES","no")</f>
        <v>no</v>
      </c>
      <c r="D168" s="33" t="n">
        <v>2025</v>
      </c>
      <c r="E168" s="8" t="s">
        <v>95</v>
      </c>
      <c r="F168" s="8" t="s">
        <v>234</v>
      </c>
      <c r="G168" s="8" t="s">
        <v>407</v>
      </c>
      <c r="H168" s="45" t="n">
        <v>31068</v>
      </c>
      <c r="I168" s="46" t="n">
        <v>14094</v>
      </c>
      <c r="J168" s="37" t="n">
        <f aca="false">IFERROR(ROUND(I168/MAX(2026-D168,0.5),0),"")</f>
        <v>14094</v>
      </c>
      <c r="K168" s="35" t="s">
        <v>259</v>
      </c>
      <c r="L168" s="35" t="s">
        <v>256</v>
      </c>
      <c r="M168" s="35" t="s">
        <v>257</v>
      </c>
      <c r="N168" s="33" t="n">
        <v>28</v>
      </c>
      <c r="O168" s="35" t="s">
        <v>276</v>
      </c>
      <c r="P168" s="45" t="n">
        <v>32911</v>
      </c>
      <c r="Q168" s="38" t="n">
        <v>0.056</v>
      </c>
      <c r="R168" s="35" t="s">
        <v>286</v>
      </c>
      <c r="S168" s="45" t="n">
        <v>280</v>
      </c>
      <c r="T168" s="35" t="s">
        <v>255</v>
      </c>
      <c r="U168" s="33" t="n">
        <v>1</v>
      </c>
      <c r="V168" s="35" t="s">
        <v>259</v>
      </c>
      <c r="W168" s="33" t="n">
        <v>2</v>
      </c>
      <c r="X168" s="35" t="s">
        <v>255</v>
      </c>
      <c r="Y168" s="35" t="s">
        <v>255</v>
      </c>
      <c r="Z168" s="35" t="s">
        <v>259</v>
      </c>
      <c r="AA168" s="35" t="s">
        <v>259</v>
      </c>
      <c r="AB168" s="35" t="s">
        <v>259</v>
      </c>
      <c r="AC168" s="35" t="s">
        <v>259</v>
      </c>
      <c r="AD168" s="35" t="s">
        <v>255</v>
      </c>
      <c r="AE168" s="35" t="s">
        <v>259</v>
      </c>
      <c r="AF168" s="35" t="s">
        <v>259</v>
      </c>
      <c r="AG168" s="35" t="s">
        <v>259</v>
      </c>
      <c r="AH168" s="35" t="s">
        <v>259</v>
      </c>
      <c r="AI168" s="35" t="s">
        <v>255</v>
      </c>
      <c r="AJ168" s="35" t="s">
        <v>259</v>
      </c>
      <c r="AK168" s="8" t="s">
        <v>260</v>
      </c>
      <c r="AL168" s="8" t="s">
        <v>260</v>
      </c>
      <c r="AM168" s="8" t="s">
        <v>278</v>
      </c>
      <c r="AN168" s="8" t="s">
        <v>384</v>
      </c>
      <c r="AO168" s="8" t="s">
        <v>340</v>
      </c>
      <c r="AP168" s="35" t="s">
        <v>265</v>
      </c>
      <c r="AQ168" s="39" t="n">
        <v>59.8</v>
      </c>
      <c r="AR168" s="39" t="n">
        <v>4.8</v>
      </c>
      <c r="AS168" s="33" t="n">
        <v>5</v>
      </c>
      <c r="AT168" s="45" t="n">
        <v>-168</v>
      </c>
      <c r="AU168" s="45" t="n">
        <v>554.99</v>
      </c>
      <c r="AV168" s="45" t="n">
        <v>268</v>
      </c>
      <c r="AW168" s="39" t="n">
        <v>69.9</v>
      </c>
      <c r="AX168" s="39" t="n">
        <v>65</v>
      </c>
      <c r="AY168" s="39" t="n">
        <v>60</v>
      </c>
      <c r="AZ168" s="39" t="n">
        <v>16</v>
      </c>
      <c r="BA168" s="39" t="n">
        <v>0</v>
      </c>
      <c r="BB168" s="39" t="n">
        <v>20.3</v>
      </c>
      <c r="BC168" s="8" t="s">
        <v>688</v>
      </c>
      <c r="BD168" s="47" t="s">
        <v>282</v>
      </c>
      <c r="BE168" s="41" t="s">
        <v>689</v>
      </c>
    </row>
    <row r="169" customFormat="false" ht="15" hidden="false" customHeight="false" outlineLevel="0" collapsed="false">
      <c r="A169" s="33" t="n">
        <f aca="false">RANK(B169,$B$5:$B$266)</f>
        <v>164</v>
      </c>
      <c r="B169" s="34" t="n">
        <f aca="false">ROUND((AW169*'Scoring Weights'!$B$5+AX169*'Scoring Weights'!$B$6+AY169*'Scoring Weights'!$B$7+BA169*'Scoring Weights'!$B$8+AZ169*'Scoring Weights'!$B$9+BB169*'Scoring Weights'!$B$10)/MAX('Scoring Weights'!$B$11,1),1)</f>
        <v>46.5</v>
      </c>
      <c r="C169" s="35" t="str">
        <f aca="false">IF(AND(H169&lt;='Search Criteria'!$B$5,D169&gt;='Search Criteria'!$B$6,AQ169&lt;='Search Criteria'!$B$7,I169&lt;=INDEX('Search Criteria'!$B$18:$B$20,MATCH(E169,'Search Criteria'!$A$18:$A$20,0)),OR(NOT('Search Criteria'!$B$8),L169&lt;&gt;"FWD"),OR(NOT('Search Criteria'!$B$9),T169="Yes"),OR(NOT('Search Criteria'!$B$10),W169&gt;0),OR(NOT('Search Criteria'!$B$11),X169="Yes"),OR(NOT('Search Criteria'!$B$12),O169="GREAT",O169="GOOD"),OR(NOT('Search Criteria'!$B$13),K169="Yes")),"YES","no")</f>
        <v>no</v>
      </c>
      <c r="D169" s="33" t="n">
        <v>2024</v>
      </c>
      <c r="E169" s="8" t="s">
        <v>94</v>
      </c>
      <c r="F169" s="8" t="s">
        <v>233</v>
      </c>
      <c r="G169" s="8" t="s">
        <v>301</v>
      </c>
      <c r="H169" s="45" t="n">
        <v>27814</v>
      </c>
      <c r="I169" s="46" t="n">
        <v>21902</v>
      </c>
      <c r="J169" s="37" t="n">
        <f aca="false">IFERROR(ROUND(I169/MAX(2026-D169,0.5),0),"")</f>
        <v>10951</v>
      </c>
      <c r="K169" s="35" t="s">
        <v>259</v>
      </c>
      <c r="L169" s="35" t="s">
        <v>256</v>
      </c>
      <c r="M169" s="35" t="s">
        <v>257</v>
      </c>
      <c r="N169" s="33" t="n">
        <v>27</v>
      </c>
      <c r="O169" s="35" t="s">
        <v>297</v>
      </c>
      <c r="P169" s="45" t="n">
        <v>26963</v>
      </c>
      <c r="Q169" s="38" t="n">
        <v>-0.032</v>
      </c>
      <c r="R169" s="35" t="s">
        <v>277</v>
      </c>
      <c r="S169" s="45"/>
      <c r="T169" s="35" t="s">
        <v>259</v>
      </c>
      <c r="U169" s="33" t="n">
        <v>1</v>
      </c>
      <c r="V169" s="35" t="s">
        <v>255</v>
      </c>
      <c r="W169" s="33" t="n">
        <v>8</v>
      </c>
      <c r="X169" s="35" t="s">
        <v>255</v>
      </c>
      <c r="Y169" s="35" t="s">
        <v>255</v>
      </c>
      <c r="Z169" s="35" t="s">
        <v>259</v>
      </c>
      <c r="AA169" s="35" t="s">
        <v>259</v>
      </c>
      <c r="AB169" s="35" t="s">
        <v>255</v>
      </c>
      <c r="AC169" s="35" t="s">
        <v>259</v>
      </c>
      <c r="AD169" s="35" t="s">
        <v>255</v>
      </c>
      <c r="AE169" s="35" t="s">
        <v>259</v>
      </c>
      <c r="AF169" s="35" t="s">
        <v>259</v>
      </c>
      <c r="AG169" s="35" t="s">
        <v>259</v>
      </c>
      <c r="AH169" s="35" t="s">
        <v>259</v>
      </c>
      <c r="AI169" s="35" t="s">
        <v>259</v>
      </c>
      <c r="AJ169" s="35" t="s">
        <v>259</v>
      </c>
      <c r="AK169" s="8" t="s">
        <v>358</v>
      </c>
      <c r="AL169" s="8" t="s">
        <v>358</v>
      </c>
      <c r="AM169" s="8" t="s">
        <v>303</v>
      </c>
      <c r="AN169" s="8" t="s">
        <v>480</v>
      </c>
      <c r="AO169" s="8" t="s">
        <v>271</v>
      </c>
      <c r="AP169" s="35" t="s">
        <v>272</v>
      </c>
      <c r="AQ169" s="39" t="n">
        <v>74.5</v>
      </c>
      <c r="AR169" s="39" t="n">
        <v>4.6</v>
      </c>
      <c r="AS169" s="33" t="n">
        <v>32</v>
      </c>
      <c r="AT169" s="45"/>
      <c r="AU169" s="45" t="n">
        <v>496.86</v>
      </c>
      <c r="AV169" s="45" t="n">
        <v>314</v>
      </c>
      <c r="AW169" s="39" t="n">
        <v>79.8</v>
      </c>
      <c r="AX169" s="39" t="n">
        <v>48</v>
      </c>
      <c r="AY169" s="39" t="n">
        <v>65.7</v>
      </c>
      <c r="AZ169" s="39" t="n">
        <v>24</v>
      </c>
      <c r="BA169" s="39" t="n">
        <v>0</v>
      </c>
      <c r="BB169" s="39" t="n">
        <v>0.7</v>
      </c>
      <c r="BC169" s="8" t="s">
        <v>690</v>
      </c>
      <c r="BD169" s="47" t="s">
        <v>323</v>
      </c>
      <c r="BE169" s="41" t="s">
        <v>691</v>
      </c>
    </row>
    <row r="170" customFormat="false" ht="15" hidden="false" customHeight="false" outlineLevel="0" collapsed="false">
      <c r="A170" s="33" t="n">
        <f aca="false">RANK(B170,$B$5:$B$266)</f>
        <v>164</v>
      </c>
      <c r="B170" s="34" t="n">
        <f aca="false">ROUND((AW170*'Scoring Weights'!$B$5+AX170*'Scoring Weights'!$B$6+AY170*'Scoring Weights'!$B$7+BA170*'Scoring Weights'!$B$8+AZ170*'Scoring Weights'!$B$9+BB170*'Scoring Weights'!$B$10)/MAX('Scoring Weights'!$B$11,1),1)</f>
        <v>46.5</v>
      </c>
      <c r="C170" s="35" t="str">
        <f aca="false">IF(AND(H170&lt;='Search Criteria'!$B$5,D170&gt;='Search Criteria'!$B$6,AQ170&lt;='Search Criteria'!$B$7,I170&lt;=INDEX('Search Criteria'!$B$18:$B$20,MATCH(E170,'Search Criteria'!$A$18:$A$20,0)),OR(NOT('Search Criteria'!$B$8),L170&lt;&gt;"FWD"),OR(NOT('Search Criteria'!$B$9),T170="Yes"),OR(NOT('Search Criteria'!$B$10),W170&gt;0),OR(NOT('Search Criteria'!$B$11),X170="Yes"),OR(NOT('Search Criteria'!$B$12),O170="GREAT",O170="GOOD"),OR(NOT('Search Criteria'!$B$13),K170="Yes")),"YES","no")</f>
        <v>no</v>
      </c>
      <c r="D170" s="33" t="n">
        <v>2023</v>
      </c>
      <c r="E170" s="8" t="s">
        <v>95</v>
      </c>
      <c r="F170" s="8" t="s">
        <v>234</v>
      </c>
      <c r="G170" s="8" t="s">
        <v>275</v>
      </c>
      <c r="H170" s="45" t="n">
        <v>27814</v>
      </c>
      <c r="I170" s="46" t="n">
        <v>46335</v>
      </c>
      <c r="J170" s="37" t="n">
        <f aca="false">IFERROR(ROUND(I170/MAX(2026-D170,0.5),0),"")</f>
        <v>15445</v>
      </c>
      <c r="K170" s="35" t="s">
        <v>259</v>
      </c>
      <c r="L170" s="35" t="s">
        <v>256</v>
      </c>
      <c r="M170" s="35" t="s">
        <v>257</v>
      </c>
      <c r="N170" s="33" t="n">
        <v>28</v>
      </c>
      <c r="O170" s="35" t="s">
        <v>297</v>
      </c>
      <c r="P170" s="45" t="n">
        <v>26158</v>
      </c>
      <c r="Q170" s="38" t="n">
        <v>-0.063</v>
      </c>
      <c r="R170" s="35" t="s">
        <v>286</v>
      </c>
      <c r="S170" s="45" t="n">
        <v>370</v>
      </c>
      <c r="T170" s="35" t="s">
        <v>255</v>
      </c>
      <c r="U170" s="33" t="n">
        <v>1</v>
      </c>
      <c r="V170" s="35" t="s">
        <v>255</v>
      </c>
      <c r="W170" s="33" t="n">
        <v>12</v>
      </c>
      <c r="X170" s="35" t="s">
        <v>255</v>
      </c>
      <c r="Y170" s="35" t="s">
        <v>255</v>
      </c>
      <c r="Z170" s="35" t="s">
        <v>255</v>
      </c>
      <c r="AA170" s="35" t="s">
        <v>255</v>
      </c>
      <c r="AB170" s="35" t="s">
        <v>255</v>
      </c>
      <c r="AC170" s="35" t="s">
        <v>255</v>
      </c>
      <c r="AD170" s="35" t="s">
        <v>255</v>
      </c>
      <c r="AE170" s="35" t="s">
        <v>259</v>
      </c>
      <c r="AF170" s="35" t="s">
        <v>255</v>
      </c>
      <c r="AG170" s="35" t="s">
        <v>255</v>
      </c>
      <c r="AH170" s="35" t="s">
        <v>255</v>
      </c>
      <c r="AI170" s="35" t="s">
        <v>255</v>
      </c>
      <c r="AJ170" s="35" t="s">
        <v>255</v>
      </c>
      <c r="AK170" s="8" t="s">
        <v>292</v>
      </c>
      <c r="AL170" s="8" t="s">
        <v>292</v>
      </c>
      <c r="AM170" s="8" t="s">
        <v>278</v>
      </c>
      <c r="AN170" s="8" t="s">
        <v>480</v>
      </c>
      <c r="AO170" s="8" t="s">
        <v>271</v>
      </c>
      <c r="AP170" s="35" t="s">
        <v>272</v>
      </c>
      <c r="AQ170" s="39" t="n">
        <v>74.5</v>
      </c>
      <c r="AR170" s="39" t="n">
        <v>4.6</v>
      </c>
      <c r="AS170" s="33" t="n">
        <v>32</v>
      </c>
      <c r="AT170" s="45" t="n">
        <v>186</v>
      </c>
      <c r="AU170" s="45" t="n">
        <v>496.86</v>
      </c>
      <c r="AV170" s="45" t="n">
        <v>314</v>
      </c>
      <c r="AW170" s="39" t="n">
        <v>85.7</v>
      </c>
      <c r="AX170" s="39" t="n">
        <v>43.3</v>
      </c>
      <c r="AY170" s="39" t="n">
        <v>11.5</v>
      </c>
      <c r="AZ170" s="39" t="n">
        <v>90</v>
      </c>
      <c r="BA170" s="39" t="n">
        <v>0</v>
      </c>
      <c r="BB170" s="39" t="n">
        <v>0.7</v>
      </c>
      <c r="BC170" s="8" t="s">
        <v>692</v>
      </c>
      <c r="BD170" s="47" t="s">
        <v>632</v>
      </c>
      <c r="BE170" s="41" t="s">
        <v>693</v>
      </c>
    </row>
    <row r="171" customFormat="false" ht="15" hidden="false" customHeight="false" outlineLevel="0" collapsed="false">
      <c r="A171" s="33" t="n">
        <f aca="false">RANK(B171,$B$5:$B$266)</f>
        <v>164</v>
      </c>
      <c r="B171" s="34" t="n">
        <f aca="false">ROUND((AW171*'Scoring Weights'!$B$5+AX171*'Scoring Weights'!$B$6+AY171*'Scoring Weights'!$B$7+BA171*'Scoring Weights'!$B$8+AZ171*'Scoring Weights'!$B$9+BB171*'Scoring Weights'!$B$10)/MAX('Scoring Weights'!$B$11,1),1)</f>
        <v>46.5</v>
      </c>
      <c r="C171" s="35" t="str">
        <f aca="false">IF(AND(H171&lt;='Search Criteria'!$B$5,D171&gt;='Search Criteria'!$B$6,AQ171&lt;='Search Criteria'!$B$7,I171&lt;=INDEX('Search Criteria'!$B$18:$B$20,MATCH(E171,'Search Criteria'!$A$18:$A$20,0)),OR(NOT('Search Criteria'!$B$8),L171&lt;&gt;"FWD"),OR(NOT('Search Criteria'!$B$9),T171="Yes"),OR(NOT('Search Criteria'!$B$10),W171&gt;0),OR(NOT('Search Criteria'!$B$11),X171="Yes"),OR(NOT('Search Criteria'!$B$12),O171="GREAT",O171="GOOD"),OR(NOT('Search Criteria'!$B$13),K171="Yes")),"YES","no")</f>
        <v>no</v>
      </c>
      <c r="D171" s="33" t="n">
        <v>2025</v>
      </c>
      <c r="E171" s="8" t="s">
        <v>92</v>
      </c>
      <c r="F171" s="8" t="s">
        <v>236</v>
      </c>
      <c r="G171" s="8" t="s">
        <v>338</v>
      </c>
      <c r="H171" s="45" t="n">
        <v>31121</v>
      </c>
      <c r="I171" s="46" t="n">
        <v>36955</v>
      </c>
      <c r="J171" s="37" t="n">
        <f aca="false">IFERROR(ROUND(I171/MAX(2026-D171,0.5),0),"")</f>
        <v>36955</v>
      </c>
      <c r="K171" s="35" t="s">
        <v>259</v>
      </c>
      <c r="L171" s="35" t="s">
        <v>256</v>
      </c>
      <c r="M171" s="35" t="s">
        <v>257</v>
      </c>
      <c r="N171" s="33" t="n">
        <v>30</v>
      </c>
      <c r="O171" s="35" t="s">
        <v>297</v>
      </c>
      <c r="P171" s="45" t="n">
        <v>34221</v>
      </c>
      <c r="Q171" s="38" t="n">
        <v>0.091</v>
      </c>
      <c r="R171" s="35" t="s">
        <v>258</v>
      </c>
      <c r="S171" s="45" t="n">
        <v>250</v>
      </c>
      <c r="T171" s="35" t="s">
        <v>255</v>
      </c>
      <c r="U171" s="33" t="n">
        <v>1</v>
      </c>
      <c r="V171" s="35" t="s">
        <v>259</v>
      </c>
      <c r="W171" s="33" t="n">
        <v>1</v>
      </c>
      <c r="X171" s="35" t="s">
        <v>259</v>
      </c>
      <c r="Y171" s="35" t="s">
        <v>255</v>
      </c>
      <c r="Z171" s="35" t="s">
        <v>259</v>
      </c>
      <c r="AA171" s="35" t="s">
        <v>259</v>
      </c>
      <c r="AB171" s="35" t="s">
        <v>259</v>
      </c>
      <c r="AC171" s="35" t="s">
        <v>259</v>
      </c>
      <c r="AD171" s="35" t="s">
        <v>259</v>
      </c>
      <c r="AE171" s="35" t="s">
        <v>259</v>
      </c>
      <c r="AF171" s="35" t="s">
        <v>259</v>
      </c>
      <c r="AG171" s="35" t="s">
        <v>259</v>
      </c>
      <c r="AH171" s="35" t="s">
        <v>259</v>
      </c>
      <c r="AI171" s="35" t="s">
        <v>259</v>
      </c>
      <c r="AJ171" s="35" t="s">
        <v>259</v>
      </c>
      <c r="AK171" s="8" t="s">
        <v>358</v>
      </c>
      <c r="AL171" s="8" t="s">
        <v>261</v>
      </c>
      <c r="AM171" s="8" t="s">
        <v>278</v>
      </c>
      <c r="AN171" s="8" t="s">
        <v>315</v>
      </c>
      <c r="AO171" s="8" t="s">
        <v>294</v>
      </c>
      <c r="AP171" s="35" t="s">
        <v>272</v>
      </c>
      <c r="AQ171" s="39" t="n">
        <v>41.6</v>
      </c>
      <c r="AR171" s="39" t="n">
        <v>4.6</v>
      </c>
      <c r="AS171" s="33" t="n">
        <v>25</v>
      </c>
      <c r="AT171" s="45"/>
      <c r="AU171" s="45" t="n">
        <v>555.93</v>
      </c>
      <c r="AV171" s="45" t="n">
        <v>314</v>
      </c>
      <c r="AW171" s="39" t="n">
        <v>83.6</v>
      </c>
      <c r="AX171" s="39" t="n">
        <v>66.3</v>
      </c>
      <c r="AY171" s="39" t="n">
        <v>44.1</v>
      </c>
      <c r="AZ171" s="39" t="n">
        <v>0</v>
      </c>
      <c r="BA171" s="39" t="n">
        <v>0</v>
      </c>
      <c r="BB171" s="39" t="n">
        <v>44.5</v>
      </c>
      <c r="BC171" s="8" t="s">
        <v>694</v>
      </c>
      <c r="BD171" s="47" t="s">
        <v>290</v>
      </c>
      <c r="BE171" s="41" t="s">
        <v>695</v>
      </c>
    </row>
    <row r="172" customFormat="false" ht="15" hidden="false" customHeight="false" outlineLevel="0" collapsed="false">
      <c r="A172" s="33" t="n">
        <f aca="false">RANK(B172,$B$5:$B$266)</f>
        <v>164</v>
      </c>
      <c r="B172" s="34" t="n">
        <f aca="false">ROUND((AW172*'Scoring Weights'!$B$5+AX172*'Scoring Weights'!$B$6+AY172*'Scoring Weights'!$B$7+BA172*'Scoring Weights'!$B$8+AZ172*'Scoring Weights'!$B$9+BB172*'Scoring Weights'!$B$10)/MAX('Scoring Weights'!$B$11,1),1)</f>
        <v>46.5</v>
      </c>
      <c r="C172" s="35" t="str">
        <f aca="false">IF(AND(H172&lt;='Search Criteria'!$B$5,D172&gt;='Search Criteria'!$B$6,AQ172&lt;='Search Criteria'!$B$7,I172&lt;=INDEX('Search Criteria'!$B$18:$B$20,MATCH(E172,'Search Criteria'!$A$18:$A$20,0)),OR(NOT('Search Criteria'!$B$8),L172&lt;&gt;"FWD"),OR(NOT('Search Criteria'!$B$9),T172="Yes"),OR(NOT('Search Criteria'!$B$10),W172&gt;0),OR(NOT('Search Criteria'!$B$11),X172="Yes"),OR(NOT('Search Criteria'!$B$12),O172="GREAT",O172="GOOD"),OR(NOT('Search Criteria'!$B$13),K172="Yes")),"YES","no")</f>
        <v>no</v>
      </c>
      <c r="D172" s="33" t="n">
        <v>2025</v>
      </c>
      <c r="E172" s="8" t="s">
        <v>92</v>
      </c>
      <c r="F172" s="8" t="s">
        <v>236</v>
      </c>
      <c r="G172" s="8" t="s">
        <v>296</v>
      </c>
      <c r="H172" s="45" t="n">
        <v>35250</v>
      </c>
      <c r="I172" s="46" t="n">
        <v>31448</v>
      </c>
      <c r="J172" s="37" t="n">
        <f aca="false">IFERROR(ROUND(I172/MAX(2026-D172,0.5),0),"")</f>
        <v>31448</v>
      </c>
      <c r="K172" s="35" t="s">
        <v>259</v>
      </c>
      <c r="L172" s="35" t="s">
        <v>256</v>
      </c>
      <c r="M172" s="35" t="s">
        <v>257</v>
      </c>
      <c r="N172" s="33" t="n">
        <v>28</v>
      </c>
      <c r="O172" s="35" t="s">
        <v>276</v>
      </c>
      <c r="P172" s="45" t="n">
        <v>34661</v>
      </c>
      <c r="Q172" s="38" t="n">
        <v>-0.017</v>
      </c>
      <c r="R172" s="35" t="s">
        <v>258</v>
      </c>
      <c r="S172" s="45" t="n">
        <v>220</v>
      </c>
      <c r="T172" s="35" t="s">
        <v>255</v>
      </c>
      <c r="U172" s="33" t="n">
        <v>1</v>
      </c>
      <c r="V172" s="35" t="s">
        <v>259</v>
      </c>
      <c r="W172" s="33" t="n">
        <v>4</v>
      </c>
      <c r="X172" s="35" t="s">
        <v>259</v>
      </c>
      <c r="Y172" s="35" t="s">
        <v>255</v>
      </c>
      <c r="Z172" s="35" t="s">
        <v>259</v>
      </c>
      <c r="AA172" s="35" t="s">
        <v>259</v>
      </c>
      <c r="AB172" s="35" t="s">
        <v>255</v>
      </c>
      <c r="AC172" s="35" t="s">
        <v>259</v>
      </c>
      <c r="AD172" s="35" t="s">
        <v>259</v>
      </c>
      <c r="AE172" s="35" t="s">
        <v>259</v>
      </c>
      <c r="AF172" s="35" t="s">
        <v>259</v>
      </c>
      <c r="AG172" s="35" t="s">
        <v>259</v>
      </c>
      <c r="AH172" s="35" t="s">
        <v>259</v>
      </c>
      <c r="AI172" s="35" t="s">
        <v>255</v>
      </c>
      <c r="AJ172" s="35" t="s">
        <v>259</v>
      </c>
      <c r="AK172" s="8" t="s">
        <v>309</v>
      </c>
      <c r="AL172" s="8" t="s">
        <v>261</v>
      </c>
      <c r="AM172" s="8" t="s">
        <v>278</v>
      </c>
      <c r="AN172" s="8" t="s">
        <v>339</v>
      </c>
      <c r="AO172" s="8" t="s">
        <v>340</v>
      </c>
      <c r="AP172" s="35" t="s">
        <v>265</v>
      </c>
      <c r="AQ172" s="39" t="n">
        <v>59.9</v>
      </c>
      <c r="AR172" s="39" t="n">
        <v>4.5</v>
      </c>
      <c r="AS172" s="33" t="n">
        <v>96</v>
      </c>
      <c r="AT172" s="45"/>
      <c r="AU172" s="45" t="n">
        <v>629.69</v>
      </c>
      <c r="AV172" s="45" t="n">
        <v>262</v>
      </c>
      <c r="AW172" s="39" t="n">
        <v>87.2</v>
      </c>
      <c r="AX172" s="39" t="n">
        <v>54.1</v>
      </c>
      <c r="AY172" s="39" t="n">
        <v>48</v>
      </c>
      <c r="AZ172" s="39" t="n">
        <v>16</v>
      </c>
      <c r="BA172" s="39" t="n">
        <v>0</v>
      </c>
      <c r="BB172" s="39" t="n">
        <v>20.2</v>
      </c>
      <c r="BC172" s="8" t="s">
        <v>696</v>
      </c>
      <c r="BD172" s="47" t="s">
        <v>290</v>
      </c>
      <c r="BE172" s="41" t="s">
        <v>697</v>
      </c>
    </row>
    <row r="173" customFormat="false" ht="15" hidden="false" customHeight="false" outlineLevel="0" collapsed="false">
      <c r="A173" s="33" t="n">
        <f aca="false">RANK(B173,$B$5:$B$266)</f>
        <v>169</v>
      </c>
      <c r="B173" s="34" t="n">
        <f aca="false">ROUND((AW173*'Scoring Weights'!$B$5+AX173*'Scoring Weights'!$B$6+AY173*'Scoring Weights'!$B$7+BA173*'Scoring Weights'!$B$8+AZ173*'Scoring Weights'!$B$9+BB173*'Scoring Weights'!$B$10)/MAX('Scoring Weights'!$B$11,1),1)</f>
        <v>46.4</v>
      </c>
      <c r="C173" s="35" t="str">
        <f aca="false">IF(AND(H173&lt;='Search Criteria'!$B$5,D173&gt;='Search Criteria'!$B$6,AQ173&lt;='Search Criteria'!$B$7,I173&lt;=INDEX('Search Criteria'!$B$18:$B$20,MATCH(E173,'Search Criteria'!$A$18:$A$20,0)),OR(NOT('Search Criteria'!$B$8),L173&lt;&gt;"FWD"),OR(NOT('Search Criteria'!$B$9),T173="Yes"),OR(NOT('Search Criteria'!$B$10),W173&gt;0),OR(NOT('Search Criteria'!$B$11),X173="Yes"),OR(NOT('Search Criteria'!$B$12),O173="GREAT",O173="GOOD"),OR(NOT('Search Criteria'!$B$13),K173="Yes")),"YES","no")</f>
        <v>no</v>
      </c>
      <c r="D173" s="33" t="n">
        <v>2025</v>
      </c>
      <c r="E173" s="8" t="s">
        <v>92</v>
      </c>
      <c r="F173" s="8" t="s">
        <v>236</v>
      </c>
      <c r="G173" s="8" t="s">
        <v>338</v>
      </c>
      <c r="H173" s="45" t="n">
        <v>31818</v>
      </c>
      <c r="I173" s="46" t="n">
        <v>33894</v>
      </c>
      <c r="J173" s="37" t="n">
        <f aca="false">IFERROR(ROUND(I173/MAX(2026-D173,0.5),0),"")</f>
        <v>33894</v>
      </c>
      <c r="K173" s="35" t="s">
        <v>259</v>
      </c>
      <c r="L173" s="35" t="s">
        <v>256</v>
      </c>
      <c r="M173" s="35" t="s">
        <v>257</v>
      </c>
      <c r="N173" s="33" t="n">
        <v>30</v>
      </c>
      <c r="O173" s="35" t="s">
        <v>297</v>
      </c>
      <c r="P173" s="45" t="n">
        <v>34466</v>
      </c>
      <c r="Q173" s="38" t="n">
        <v>0.077</v>
      </c>
      <c r="R173" s="35" t="s">
        <v>258</v>
      </c>
      <c r="S173" s="45" t="n">
        <v>310</v>
      </c>
      <c r="T173" s="35" t="s">
        <v>255</v>
      </c>
      <c r="U173" s="33" t="n">
        <v>1</v>
      </c>
      <c r="V173" s="35" t="s">
        <v>259</v>
      </c>
      <c r="W173" s="33" t="n">
        <v>1</v>
      </c>
      <c r="X173" s="35" t="s">
        <v>259</v>
      </c>
      <c r="Y173" s="35" t="s">
        <v>255</v>
      </c>
      <c r="Z173" s="35" t="s">
        <v>259</v>
      </c>
      <c r="AA173" s="35" t="s">
        <v>259</v>
      </c>
      <c r="AB173" s="35" t="s">
        <v>259</v>
      </c>
      <c r="AC173" s="35" t="s">
        <v>259</v>
      </c>
      <c r="AD173" s="35" t="s">
        <v>259</v>
      </c>
      <c r="AE173" s="35" t="s">
        <v>259</v>
      </c>
      <c r="AF173" s="35" t="s">
        <v>259</v>
      </c>
      <c r="AG173" s="35" t="s">
        <v>259</v>
      </c>
      <c r="AH173" s="35" t="s">
        <v>259</v>
      </c>
      <c r="AI173" s="35" t="s">
        <v>259</v>
      </c>
      <c r="AJ173" s="35" t="s">
        <v>259</v>
      </c>
      <c r="AK173" s="8" t="s">
        <v>261</v>
      </c>
      <c r="AL173" s="8" t="s">
        <v>261</v>
      </c>
      <c r="AM173" s="8" t="s">
        <v>278</v>
      </c>
      <c r="AN173" s="8" t="s">
        <v>315</v>
      </c>
      <c r="AO173" s="8" t="s">
        <v>294</v>
      </c>
      <c r="AP173" s="35" t="s">
        <v>272</v>
      </c>
      <c r="AQ173" s="39" t="n">
        <v>41.6</v>
      </c>
      <c r="AR173" s="39" t="n">
        <v>4.6</v>
      </c>
      <c r="AS173" s="33" t="n">
        <v>46</v>
      </c>
      <c r="AT173" s="45"/>
      <c r="AU173" s="45" t="n">
        <v>568.38</v>
      </c>
      <c r="AV173" s="45" t="n">
        <v>314</v>
      </c>
      <c r="AW173" s="39" t="n">
        <v>83.6</v>
      </c>
      <c r="AX173" s="39" t="n">
        <v>64.3</v>
      </c>
      <c r="AY173" s="39" t="n">
        <v>46.3</v>
      </c>
      <c r="AZ173" s="39" t="n">
        <v>0</v>
      </c>
      <c r="BA173" s="39" t="n">
        <v>0</v>
      </c>
      <c r="BB173" s="39" t="n">
        <v>44.5</v>
      </c>
      <c r="BC173" s="8" t="s">
        <v>698</v>
      </c>
      <c r="BD173" s="47" t="s">
        <v>290</v>
      </c>
      <c r="BE173" s="41" t="s">
        <v>699</v>
      </c>
    </row>
    <row r="174" customFormat="false" ht="15" hidden="false" customHeight="false" outlineLevel="0" collapsed="false">
      <c r="A174" s="33" t="n">
        <f aca="false">RANK(B174,$B$5:$B$266)</f>
        <v>169</v>
      </c>
      <c r="B174" s="34" t="n">
        <f aca="false">ROUND((AW174*'Scoring Weights'!$B$5+AX174*'Scoring Weights'!$B$6+AY174*'Scoring Weights'!$B$7+BA174*'Scoring Weights'!$B$8+AZ174*'Scoring Weights'!$B$9+BB174*'Scoring Weights'!$B$10)/MAX('Scoring Weights'!$B$11,1),1)</f>
        <v>46.4</v>
      </c>
      <c r="C174" s="35" t="str">
        <f aca="false">IF(AND(H174&lt;='Search Criteria'!$B$5,D174&gt;='Search Criteria'!$B$6,AQ174&lt;='Search Criteria'!$B$7,I174&lt;=INDEX('Search Criteria'!$B$18:$B$20,MATCH(E174,'Search Criteria'!$A$18:$A$20,0)),OR(NOT('Search Criteria'!$B$8),L174&lt;&gt;"FWD"),OR(NOT('Search Criteria'!$B$9),T174="Yes"),OR(NOT('Search Criteria'!$B$10),W174&gt;0),OR(NOT('Search Criteria'!$B$11),X174="Yes"),OR(NOT('Search Criteria'!$B$12),O174="GREAT",O174="GOOD"),OR(NOT('Search Criteria'!$B$13),K174="Yes")),"YES","no")</f>
        <v>no</v>
      </c>
      <c r="D174" s="33" t="n">
        <v>2024</v>
      </c>
      <c r="E174" s="8" t="s">
        <v>94</v>
      </c>
      <c r="F174" s="8" t="s">
        <v>232</v>
      </c>
      <c r="G174" s="8" t="s">
        <v>319</v>
      </c>
      <c r="H174" s="45" t="n">
        <v>25990</v>
      </c>
      <c r="I174" s="46" t="n">
        <v>71989</v>
      </c>
      <c r="J174" s="37" t="n">
        <f aca="false">IFERROR(ROUND(I174/MAX(2026-D174,0.5),0),"")</f>
        <v>35995</v>
      </c>
      <c r="K174" s="35" t="s">
        <v>259</v>
      </c>
      <c r="L174" s="35" t="s">
        <v>256</v>
      </c>
      <c r="M174" s="35" t="s">
        <v>257</v>
      </c>
      <c r="N174" s="33" t="n">
        <v>29</v>
      </c>
      <c r="O174" s="35" t="s">
        <v>258</v>
      </c>
      <c r="P174" s="45" t="n">
        <v>29933</v>
      </c>
      <c r="Q174" s="38" t="n">
        <v>0.132</v>
      </c>
      <c r="R174" s="35" t="s">
        <v>277</v>
      </c>
      <c r="S174" s="45"/>
      <c r="T174" s="35" t="s">
        <v>255</v>
      </c>
      <c r="U174" s="33" t="n">
        <v>1</v>
      </c>
      <c r="V174" s="35" t="s">
        <v>255</v>
      </c>
      <c r="W174" s="33" t="n">
        <v>3</v>
      </c>
      <c r="X174" s="35" t="s">
        <v>259</v>
      </c>
      <c r="Y174" s="35" t="s">
        <v>255</v>
      </c>
      <c r="Z174" s="35" t="s">
        <v>259</v>
      </c>
      <c r="AA174" s="35" t="s">
        <v>259</v>
      </c>
      <c r="AB174" s="35" t="s">
        <v>259</v>
      </c>
      <c r="AC174" s="35" t="s">
        <v>259</v>
      </c>
      <c r="AD174" s="35" t="s">
        <v>259</v>
      </c>
      <c r="AE174" s="35" t="s">
        <v>259</v>
      </c>
      <c r="AF174" s="35" t="s">
        <v>259</v>
      </c>
      <c r="AG174" s="35" t="s">
        <v>259</v>
      </c>
      <c r="AH174" s="35" t="s">
        <v>259</v>
      </c>
      <c r="AI174" s="35" t="s">
        <v>259</v>
      </c>
      <c r="AJ174" s="35" t="s">
        <v>259</v>
      </c>
      <c r="AK174" s="8" t="s">
        <v>261</v>
      </c>
      <c r="AL174" s="8" t="s">
        <v>358</v>
      </c>
      <c r="AM174" s="8" t="s">
        <v>262</v>
      </c>
      <c r="AN174" s="8" t="s">
        <v>320</v>
      </c>
      <c r="AO174" s="8" t="s">
        <v>321</v>
      </c>
      <c r="AP174" s="35" t="s">
        <v>272</v>
      </c>
      <c r="AQ174" s="39" t="n">
        <v>56.8</v>
      </c>
      <c r="AR174" s="39" t="n">
        <v>4.5</v>
      </c>
      <c r="AS174" s="33" t="n">
        <v>16</v>
      </c>
      <c r="AT174" s="45"/>
      <c r="AU174" s="45" t="n">
        <v>464.27</v>
      </c>
      <c r="AV174" s="45" t="n">
        <v>314</v>
      </c>
      <c r="AW174" s="39" t="n">
        <v>91.6</v>
      </c>
      <c r="AX174" s="39" t="n">
        <v>97.3</v>
      </c>
      <c r="AY174" s="39" t="n">
        <v>0</v>
      </c>
      <c r="AZ174" s="39" t="n">
        <v>0</v>
      </c>
      <c r="BA174" s="39" t="n">
        <v>0</v>
      </c>
      <c r="BB174" s="39" t="n">
        <v>24.3</v>
      </c>
      <c r="BC174" s="8" t="s">
        <v>700</v>
      </c>
      <c r="BD174" s="47" t="s">
        <v>307</v>
      </c>
      <c r="BE174" s="41" t="s">
        <v>701</v>
      </c>
    </row>
    <row r="175" customFormat="false" ht="15" hidden="false" customHeight="false" outlineLevel="0" collapsed="false">
      <c r="A175" s="33" t="n">
        <f aca="false">RANK(B175,$B$5:$B$266)</f>
        <v>171</v>
      </c>
      <c r="B175" s="34" t="n">
        <f aca="false">ROUND((AW175*'Scoring Weights'!$B$5+AX175*'Scoring Weights'!$B$6+AY175*'Scoring Weights'!$B$7+BA175*'Scoring Weights'!$B$8+AZ175*'Scoring Weights'!$B$9+BB175*'Scoring Weights'!$B$10)/MAX('Scoring Weights'!$B$11,1),1)</f>
        <v>46.3</v>
      </c>
      <c r="C175" s="35" t="str">
        <f aca="false">IF(AND(H175&lt;='Search Criteria'!$B$5,D175&gt;='Search Criteria'!$B$6,AQ175&lt;='Search Criteria'!$B$7,I175&lt;=INDEX('Search Criteria'!$B$18:$B$20,MATCH(E175,'Search Criteria'!$A$18:$A$20,0)),OR(NOT('Search Criteria'!$B$8),L175&lt;&gt;"FWD"),OR(NOT('Search Criteria'!$B$9),T175="Yes"),OR(NOT('Search Criteria'!$B$10),W175&gt;0),OR(NOT('Search Criteria'!$B$11),X175="Yes"),OR(NOT('Search Criteria'!$B$12),O175="GREAT",O175="GOOD"),OR(NOT('Search Criteria'!$B$13),K175="Yes")),"YES","no")</f>
        <v>no</v>
      </c>
      <c r="D175" s="33" t="n">
        <v>2024</v>
      </c>
      <c r="E175" s="8" t="s">
        <v>92</v>
      </c>
      <c r="F175" s="8" t="s">
        <v>236</v>
      </c>
      <c r="G175" s="8" t="s">
        <v>296</v>
      </c>
      <c r="H175" s="45" t="n">
        <v>27997</v>
      </c>
      <c r="I175" s="46" t="n">
        <v>56870</v>
      </c>
      <c r="J175" s="37" t="n">
        <f aca="false">IFERROR(ROUND(I175/MAX(2026-D175,0.5),0),"")</f>
        <v>28435</v>
      </c>
      <c r="K175" s="35" t="s">
        <v>259</v>
      </c>
      <c r="L175" s="35" t="s">
        <v>285</v>
      </c>
      <c r="M175" s="35" t="s">
        <v>257</v>
      </c>
      <c r="N175" s="33" t="n">
        <v>30</v>
      </c>
      <c r="O175" s="35" t="s">
        <v>286</v>
      </c>
      <c r="P175" s="45" t="n">
        <v>31437</v>
      </c>
      <c r="Q175" s="38" t="n">
        <v>0.109</v>
      </c>
      <c r="R175" s="35" t="s">
        <v>258</v>
      </c>
      <c r="S175" s="45" t="n">
        <v>340</v>
      </c>
      <c r="T175" s="35" t="s">
        <v>259</v>
      </c>
      <c r="U175" s="33" t="n">
        <v>1</v>
      </c>
      <c r="V175" s="35" t="s">
        <v>259</v>
      </c>
      <c r="W175" s="33" t="n">
        <v>5</v>
      </c>
      <c r="X175" s="35" t="s">
        <v>259</v>
      </c>
      <c r="Y175" s="35" t="s">
        <v>255</v>
      </c>
      <c r="Z175" s="35" t="s">
        <v>259</v>
      </c>
      <c r="AA175" s="35" t="s">
        <v>259</v>
      </c>
      <c r="AB175" s="35" t="s">
        <v>255</v>
      </c>
      <c r="AC175" s="35" t="s">
        <v>259</v>
      </c>
      <c r="AD175" s="35" t="s">
        <v>259</v>
      </c>
      <c r="AE175" s="35" t="s">
        <v>259</v>
      </c>
      <c r="AF175" s="35" t="s">
        <v>259</v>
      </c>
      <c r="AG175" s="35" t="s">
        <v>259</v>
      </c>
      <c r="AH175" s="35" t="s">
        <v>259</v>
      </c>
      <c r="AI175" s="35" t="s">
        <v>255</v>
      </c>
      <c r="AJ175" s="35" t="s">
        <v>259</v>
      </c>
      <c r="AK175" s="8" t="s">
        <v>261</v>
      </c>
      <c r="AL175" s="8" t="s">
        <v>261</v>
      </c>
      <c r="AM175" s="8" t="s">
        <v>278</v>
      </c>
      <c r="AN175" s="8" t="s">
        <v>335</v>
      </c>
      <c r="AO175" s="8" t="s">
        <v>321</v>
      </c>
      <c r="AP175" s="35" t="s">
        <v>272</v>
      </c>
      <c r="AQ175" s="39" t="n">
        <v>56.8</v>
      </c>
      <c r="AR175" s="39" t="n">
        <v>4.6</v>
      </c>
      <c r="AS175" s="33" t="n">
        <v>15</v>
      </c>
      <c r="AT175" s="45"/>
      <c r="AU175" s="45" t="n">
        <v>500.13</v>
      </c>
      <c r="AV175" s="45" t="n">
        <v>345</v>
      </c>
      <c r="AW175" s="39" t="n">
        <v>74.8</v>
      </c>
      <c r="AX175" s="39" t="n">
        <v>81.8</v>
      </c>
      <c r="AY175" s="39" t="n">
        <v>30.2</v>
      </c>
      <c r="AZ175" s="39" t="n">
        <v>16</v>
      </c>
      <c r="BA175" s="39" t="n">
        <v>0</v>
      </c>
      <c r="BB175" s="39" t="n">
        <v>24.2</v>
      </c>
      <c r="BC175" s="8" t="s">
        <v>702</v>
      </c>
      <c r="BD175" s="47" t="s">
        <v>346</v>
      </c>
      <c r="BE175" s="41" t="s">
        <v>703</v>
      </c>
    </row>
    <row r="176" customFormat="false" ht="15" hidden="false" customHeight="false" outlineLevel="0" collapsed="false">
      <c r="A176" s="33" t="n">
        <f aca="false">RANK(B176,$B$5:$B$266)</f>
        <v>171</v>
      </c>
      <c r="B176" s="34" t="n">
        <f aca="false">ROUND((AW176*'Scoring Weights'!$B$5+AX176*'Scoring Weights'!$B$6+AY176*'Scoring Weights'!$B$7+BA176*'Scoring Weights'!$B$8+AZ176*'Scoring Weights'!$B$9+BB176*'Scoring Weights'!$B$10)/MAX('Scoring Weights'!$B$11,1),1)</f>
        <v>46.3</v>
      </c>
      <c r="C176" s="35" t="str">
        <f aca="false">IF(AND(H176&lt;='Search Criteria'!$B$5,D176&gt;='Search Criteria'!$B$6,AQ176&lt;='Search Criteria'!$B$7,I176&lt;=INDEX('Search Criteria'!$B$18:$B$20,MATCH(E176,'Search Criteria'!$A$18:$A$20,0)),OR(NOT('Search Criteria'!$B$8),L176&lt;&gt;"FWD"),OR(NOT('Search Criteria'!$B$9),T176="Yes"),OR(NOT('Search Criteria'!$B$10),W176&gt;0),OR(NOT('Search Criteria'!$B$11),X176="Yes"),OR(NOT('Search Criteria'!$B$12),O176="GREAT",O176="GOOD"),OR(NOT('Search Criteria'!$B$13),K176="Yes")),"YES","no")</f>
        <v>no</v>
      </c>
      <c r="D176" s="33" t="n">
        <v>2025</v>
      </c>
      <c r="E176" s="8" t="s">
        <v>94</v>
      </c>
      <c r="F176" s="8" t="s">
        <v>232</v>
      </c>
      <c r="G176" s="8" t="s">
        <v>328</v>
      </c>
      <c r="H176" s="45" t="n">
        <v>32309</v>
      </c>
      <c r="I176" s="46" t="n">
        <v>85904</v>
      </c>
      <c r="J176" s="37" t="n">
        <f aca="false">IFERROR(ROUND(I176/MAX(2026-D176,0.5),0),"")</f>
        <v>85904</v>
      </c>
      <c r="K176" s="35" t="s">
        <v>259</v>
      </c>
      <c r="L176" s="35" t="s">
        <v>256</v>
      </c>
      <c r="M176" s="35" t="s">
        <v>302</v>
      </c>
      <c r="N176" s="33" t="n">
        <v>37</v>
      </c>
      <c r="O176" s="35" t="s">
        <v>297</v>
      </c>
      <c r="P176" s="45" t="n">
        <v>30109</v>
      </c>
      <c r="Q176" s="38" t="n">
        <v>-0.073</v>
      </c>
      <c r="R176" s="35" t="s">
        <v>258</v>
      </c>
      <c r="S176" s="45" t="n">
        <v>630</v>
      </c>
      <c r="T176" s="35" t="s">
        <v>255</v>
      </c>
      <c r="U176" s="33" t="n">
        <v>1</v>
      </c>
      <c r="V176" s="35" t="s">
        <v>255</v>
      </c>
      <c r="W176" s="33" t="n">
        <v>11</v>
      </c>
      <c r="X176" s="35" t="s">
        <v>255</v>
      </c>
      <c r="Y176" s="35" t="s">
        <v>255</v>
      </c>
      <c r="Z176" s="35" t="s">
        <v>255</v>
      </c>
      <c r="AA176" s="35" t="s">
        <v>255</v>
      </c>
      <c r="AB176" s="35" t="s">
        <v>255</v>
      </c>
      <c r="AC176" s="35" t="s">
        <v>255</v>
      </c>
      <c r="AD176" s="35" t="s">
        <v>255</v>
      </c>
      <c r="AE176" s="35" t="s">
        <v>259</v>
      </c>
      <c r="AF176" s="35" t="s">
        <v>255</v>
      </c>
      <c r="AG176" s="35" t="s">
        <v>255</v>
      </c>
      <c r="AH176" s="35" t="s">
        <v>255</v>
      </c>
      <c r="AI176" s="35" t="s">
        <v>255</v>
      </c>
      <c r="AJ176" s="35" t="s">
        <v>255</v>
      </c>
      <c r="AK176" s="8" t="s">
        <v>367</v>
      </c>
      <c r="AL176" s="8" t="s">
        <v>261</v>
      </c>
      <c r="AM176" s="8" t="s">
        <v>303</v>
      </c>
      <c r="AN176" s="8" t="s">
        <v>270</v>
      </c>
      <c r="AO176" s="8" t="s">
        <v>271</v>
      </c>
      <c r="AP176" s="35" t="s">
        <v>272</v>
      </c>
      <c r="AQ176" s="39" t="n">
        <v>71</v>
      </c>
      <c r="AR176" s="39" t="n">
        <v>4.7</v>
      </c>
      <c r="AS176" s="33" t="n">
        <v>52</v>
      </c>
      <c r="AT176" s="45" t="n">
        <v>686</v>
      </c>
      <c r="AU176" s="45" t="n">
        <v>577.15</v>
      </c>
      <c r="AV176" s="45" t="n">
        <v>314</v>
      </c>
      <c r="AW176" s="39" t="n">
        <v>93.3</v>
      </c>
      <c r="AX176" s="39" t="n">
        <v>41.8</v>
      </c>
      <c r="AY176" s="39" t="n">
        <v>0</v>
      </c>
      <c r="AZ176" s="39" t="n">
        <v>90</v>
      </c>
      <c r="BA176" s="39" t="n">
        <v>0</v>
      </c>
      <c r="BB176" s="39" t="n">
        <v>5.4</v>
      </c>
      <c r="BC176" s="8" t="s">
        <v>704</v>
      </c>
      <c r="BD176" s="47" t="s">
        <v>274</v>
      </c>
      <c r="BE176" s="41" t="s">
        <v>705</v>
      </c>
    </row>
    <row r="177" customFormat="false" ht="15" hidden="false" customHeight="false" outlineLevel="0" collapsed="false">
      <c r="A177" s="33" t="n">
        <f aca="false">RANK(B177,$B$5:$B$266)</f>
        <v>171</v>
      </c>
      <c r="B177" s="34" t="n">
        <f aca="false">ROUND((AW177*'Scoring Weights'!$B$5+AX177*'Scoring Weights'!$B$6+AY177*'Scoring Weights'!$B$7+BA177*'Scoring Weights'!$B$8+AZ177*'Scoring Weights'!$B$9+BB177*'Scoring Weights'!$B$10)/MAX('Scoring Weights'!$B$11,1),1)</f>
        <v>46.3</v>
      </c>
      <c r="C177" s="35" t="str">
        <f aca="false">IF(AND(H177&lt;='Search Criteria'!$B$5,D177&gt;='Search Criteria'!$B$6,AQ177&lt;='Search Criteria'!$B$7,I177&lt;=INDEX('Search Criteria'!$B$18:$B$20,MATCH(E177,'Search Criteria'!$A$18:$A$20,0)),OR(NOT('Search Criteria'!$B$8),L177&lt;&gt;"FWD"),OR(NOT('Search Criteria'!$B$9),T177="Yes"),OR(NOT('Search Criteria'!$B$10),W177&gt;0),OR(NOT('Search Criteria'!$B$11),X177="Yes"),OR(NOT('Search Criteria'!$B$12),O177="GREAT",O177="GOOD"),OR(NOT('Search Criteria'!$B$13),K177="Yes")),"YES","no")</f>
        <v>no</v>
      </c>
      <c r="D177" s="33" t="n">
        <v>2025</v>
      </c>
      <c r="E177" s="8" t="s">
        <v>92</v>
      </c>
      <c r="F177" s="8" t="s">
        <v>236</v>
      </c>
      <c r="G177" s="8" t="s">
        <v>338</v>
      </c>
      <c r="H177" s="45" t="n">
        <v>31659</v>
      </c>
      <c r="I177" s="46" t="n">
        <v>27538</v>
      </c>
      <c r="J177" s="37" t="n">
        <f aca="false">IFERROR(ROUND(I177/MAX(2026-D177,0.5),0),"")</f>
        <v>27538</v>
      </c>
      <c r="K177" s="35" t="s">
        <v>259</v>
      </c>
      <c r="L177" s="35" t="s">
        <v>256</v>
      </c>
      <c r="M177" s="35" t="s">
        <v>257</v>
      </c>
      <c r="N177" s="33" t="n">
        <v>30</v>
      </c>
      <c r="O177" s="35" t="s">
        <v>297</v>
      </c>
      <c r="P177" s="45" t="n">
        <v>34973</v>
      </c>
      <c r="Q177" s="38" t="n">
        <v>0.095</v>
      </c>
      <c r="R177" s="35" t="s">
        <v>258</v>
      </c>
      <c r="S177" s="45" t="n">
        <v>310</v>
      </c>
      <c r="T177" s="35" t="s">
        <v>255</v>
      </c>
      <c r="U177" s="33" t="n">
        <v>1</v>
      </c>
      <c r="V177" s="35" t="s">
        <v>259</v>
      </c>
      <c r="W177" s="33" t="n">
        <v>0</v>
      </c>
      <c r="X177" s="35" t="s">
        <v>259</v>
      </c>
      <c r="Y177" s="35" t="s">
        <v>255</v>
      </c>
      <c r="Z177" s="35" t="s">
        <v>259</v>
      </c>
      <c r="AA177" s="35" t="s">
        <v>259</v>
      </c>
      <c r="AB177" s="35" t="s">
        <v>259</v>
      </c>
      <c r="AC177" s="35" t="s">
        <v>259</v>
      </c>
      <c r="AD177" s="35" t="s">
        <v>259</v>
      </c>
      <c r="AE177" s="35" t="s">
        <v>259</v>
      </c>
      <c r="AF177" s="35" t="s">
        <v>259</v>
      </c>
      <c r="AG177" s="35" t="s">
        <v>259</v>
      </c>
      <c r="AH177" s="35" t="s">
        <v>259</v>
      </c>
      <c r="AI177" s="35" t="s">
        <v>259</v>
      </c>
      <c r="AJ177" s="35" t="s">
        <v>259</v>
      </c>
      <c r="AK177" s="8" t="s">
        <v>261</v>
      </c>
      <c r="AL177" s="8" t="s">
        <v>261</v>
      </c>
      <c r="AM177" s="8" t="s">
        <v>278</v>
      </c>
      <c r="AN177" s="8" t="s">
        <v>339</v>
      </c>
      <c r="AO177" s="8" t="s">
        <v>340</v>
      </c>
      <c r="AP177" s="35" t="s">
        <v>265</v>
      </c>
      <c r="AQ177" s="39" t="n">
        <v>59.9</v>
      </c>
      <c r="AR177" s="39" t="n">
        <v>4.5</v>
      </c>
      <c r="AS177" s="33" t="n">
        <v>3</v>
      </c>
      <c r="AT177" s="45"/>
      <c r="AU177" s="45" t="n">
        <v>565.54</v>
      </c>
      <c r="AV177" s="45" t="n">
        <v>262</v>
      </c>
      <c r="AW177" s="39" t="n">
        <v>82.4</v>
      </c>
      <c r="AX177" s="39" t="n">
        <v>67</v>
      </c>
      <c r="AY177" s="39" t="n">
        <v>50.7</v>
      </c>
      <c r="AZ177" s="39" t="n">
        <v>0</v>
      </c>
      <c r="BA177" s="39" t="n">
        <v>0</v>
      </c>
      <c r="BB177" s="39" t="n">
        <v>20.2</v>
      </c>
      <c r="BC177" s="8" t="s">
        <v>706</v>
      </c>
      <c r="BD177" s="47" t="s">
        <v>290</v>
      </c>
      <c r="BE177" s="41" t="s">
        <v>707</v>
      </c>
    </row>
    <row r="178" customFormat="false" ht="15" hidden="false" customHeight="false" outlineLevel="0" collapsed="false">
      <c r="A178" s="33" t="n">
        <f aca="false">RANK(B178,$B$5:$B$266)</f>
        <v>174</v>
      </c>
      <c r="B178" s="34" t="n">
        <f aca="false">ROUND((AW178*'Scoring Weights'!$B$5+AX178*'Scoring Weights'!$B$6+AY178*'Scoring Weights'!$B$7+BA178*'Scoring Weights'!$B$8+AZ178*'Scoring Weights'!$B$9+BB178*'Scoring Weights'!$B$10)/MAX('Scoring Weights'!$B$11,1),1)</f>
        <v>46.2</v>
      </c>
      <c r="C178" s="35" t="str">
        <f aca="false">IF(AND(H178&lt;='Search Criteria'!$B$5,D178&gt;='Search Criteria'!$B$6,AQ178&lt;='Search Criteria'!$B$7,I178&lt;=INDEX('Search Criteria'!$B$18:$B$20,MATCH(E178,'Search Criteria'!$A$18:$A$20,0)),OR(NOT('Search Criteria'!$B$8),L178&lt;&gt;"FWD"),OR(NOT('Search Criteria'!$B$9),T178="Yes"),OR(NOT('Search Criteria'!$B$10),W178&gt;0),OR(NOT('Search Criteria'!$B$11),X178="Yes"),OR(NOT('Search Criteria'!$B$12),O178="GREAT",O178="GOOD"),OR(NOT('Search Criteria'!$B$13),K178="Yes")),"YES","no")</f>
        <v>no</v>
      </c>
      <c r="D178" s="33" t="n">
        <v>2023</v>
      </c>
      <c r="E178" s="8" t="s">
        <v>94</v>
      </c>
      <c r="F178" s="8" t="s">
        <v>232</v>
      </c>
      <c r="G178" s="8" t="s">
        <v>254</v>
      </c>
      <c r="H178" s="45" t="n">
        <v>32490</v>
      </c>
      <c r="I178" s="46" t="n">
        <v>59414</v>
      </c>
      <c r="J178" s="37" t="n">
        <f aca="false">IFERROR(ROUND(I178/MAX(2026-D178,0.5),0),"")</f>
        <v>19805</v>
      </c>
      <c r="K178" s="35" t="s">
        <v>259</v>
      </c>
      <c r="L178" s="35" t="s">
        <v>256</v>
      </c>
      <c r="M178" s="35" t="s">
        <v>257</v>
      </c>
      <c r="N178" s="33" t="n">
        <v>29</v>
      </c>
      <c r="O178" s="35" t="s">
        <v>276</v>
      </c>
      <c r="P178" s="45" t="n">
        <v>29664</v>
      </c>
      <c r="Q178" s="38" t="n">
        <v>-0.095</v>
      </c>
      <c r="R178" s="35" t="s">
        <v>258</v>
      </c>
      <c r="S178" s="45" t="n">
        <v>100</v>
      </c>
      <c r="T178" s="35" t="s">
        <v>255</v>
      </c>
      <c r="U178" s="33" t="n">
        <v>1</v>
      </c>
      <c r="V178" s="35" t="s">
        <v>255</v>
      </c>
      <c r="W178" s="33" t="n">
        <v>0</v>
      </c>
      <c r="X178" s="35" t="s">
        <v>255</v>
      </c>
      <c r="Y178" s="35" t="s">
        <v>255</v>
      </c>
      <c r="Z178" s="35" t="s">
        <v>259</v>
      </c>
      <c r="AA178" s="35" t="s">
        <v>255</v>
      </c>
      <c r="AB178" s="35" t="s">
        <v>255</v>
      </c>
      <c r="AC178" s="35" t="s">
        <v>255</v>
      </c>
      <c r="AD178" s="35" t="s">
        <v>255</v>
      </c>
      <c r="AE178" s="35" t="s">
        <v>255</v>
      </c>
      <c r="AF178" s="35" t="s">
        <v>259</v>
      </c>
      <c r="AG178" s="35" t="s">
        <v>255</v>
      </c>
      <c r="AH178" s="35" t="s">
        <v>255</v>
      </c>
      <c r="AI178" s="35" t="s">
        <v>255</v>
      </c>
      <c r="AJ178" s="35" t="s">
        <v>259</v>
      </c>
      <c r="AK178" s="8" t="s">
        <v>261</v>
      </c>
      <c r="AL178" s="8" t="s">
        <v>260</v>
      </c>
      <c r="AM178" s="8" t="s">
        <v>262</v>
      </c>
      <c r="AN178" s="8" t="s">
        <v>320</v>
      </c>
      <c r="AO178" s="8" t="s">
        <v>321</v>
      </c>
      <c r="AP178" s="35" t="s">
        <v>272</v>
      </c>
      <c r="AQ178" s="39" t="n">
        <v>56.8</v>
      </c>
      <c r="AR178" s="39" t="n">
        <v>4.5</v>
      </c>
      <c r="AS178" s="33" t="n">
        <v>16</v>
      </c>
      <c r="AT178" s="45"/>
      <c r="AU178" s="45" t="n">
        <v>580.39</v>
      </c>
      <c r="AV178" s="45" t="n">
        <v>314</v>
      </c>
      <c r="AW178" s="39" t="n">
        <v>88</v>
      </c>
      <c r="AX178" s="39" t="n">
        <v>42.3</v>
      </c>
      <c r="AY178" s="39" t="n">
        <v>10.6</v>
      </c>
      <c r="AZ178" s="39" t="n">
        <v>78</v>
      </c>
      <c r="BA178" s="39" t="n">
        <v>0</v>
      </c>
      <c r="BB178" s="39" t="n">
        <v>24.3</v>
      </c>
      <c r="BC178" s="8" t="s">
        <v>708</v>
      </c>
      <c r="BD178" s="47" t="s">
        <v>330</v>
      </c>
      <c r="BE178" s="41" t="s">
        <v>709</v>
      </c>
    </row>
    <row r="179" customFormat="false" ht="15" hidden="false" customHeight="false" outlineLevel="0" collapsed="false">
      <c r="A179" s="33" t="n">
        <f aca="false">RANK(B179,$B$5:$B$266)</f>
        <v>174</v>
      </c>
      <c r="B179" s="34" t="n">
        <f aca="false">ROUND((AW179*'Scoring Weights'!$B$5+AX179*'Scoring Weights'!$B$6+AY179*'Scoring Weights'!$B$7+BA179*'Scoring Weights'!$B$8+AZ179*'Scoring Weights'!$B$9+BB179*'Scoring Weights'!$B$10)/MAX('Scoring Weights'!$B$11,1),1)</f>
        <v>46.2</v>
      </c>
      <c r="C179" s="35" t="str">
        <f aca="false">IF(AND(H179&lt;='Search Criteria'!$B$5,D179&gt;='Search Criteria'!$B$6,AQ179&lt;='Search Criteria'!$B$7,I179&lt;=INDEX('Search Criteria'!$B$18:$B$20,MATCH(E179,'Search Criteria'!$A$18:$A$20,0)),OR(NOT('Search Criteria'!$B$8),L179&lt;&gt;"FWD"),OR(NOT('Search Criteria'!$B$9),T179="Yes"),OR(NOT('Search Criteria'!$B$10),W179&gt;0),OR(NOT('Search Criteria'!$B$11),X179="Yes"),OR(NOT('Search Criteria'!$B$12),O179="GREAT",O179="GOOD"),OR(NOT('Search Criteria'!$B$13),K179="Yes")),"YES","no")</f>
        <v>no</v>
      </c>
      <c r="D179" s="33" t="n">
        <v>2024</v>
      </c>
      <c r="E179" s="8" t="s">
        <v>95</v>
      </c>
      <c r="F179" s="8" t="s">
        <v>234</v>
      </c>
      <c r="G179" s="8" t="s">
        <v>710</v>
      </c>
      <c r="H179" s="45" t="n">
        <v>33314</v>
      </c>
      <c r="I179" s="46" t="n">
        <v>39823</v>
      </c>
      <c r="J179" s="37" t="n">
        <f aca="false">IFERROR(ROUND(I179/MAX(2026-D179,0.5),0),"")</f>
        <v>19912</v>
      </c>
      <c r="K179" s="35" t="s">
        <v>259</v>
      </c>
      <c r="L179" s="35" t="s">
        <v>256</v>
      </c>
      <c r="M179" s="35" t="s">
        <v>257</v>
      </c>
      <c r="N179" s="33" t="n">
        <v>23</v>
      </c>
      <c r="O179" s="35" t="s">
        <v>276</v>
      </c>
      <c r="P179" s="45" t="n">
        <v>28514</v>
      </c>
      <c r="Q179" s="38" t="n">
        <v>-0.168</v>
      </c>
      <c r="R179" s="35" t="s">
        <v>286</v>
      </c>
      <c r="S179" s="45" t="n">
        <v>350</v>
      </c>
      <c r="T179" s="35" t="s">
        <v>255</v>
      </c>
      <c r="U179" s="33" t="n">
        <v>1</v>
      </c>
      <c r="V179" s="35" t="s">
        <v>255</v>
      </c>
      <c r="W179" s="33" t="n">
        <v>7</v>
      </c>
      <c r="X179" s="35" t="s">
        <v>255</v>
      </c>
      <c r="Y179" s="35" t="s">
        <v>255</v>
      </c>
      <c r="Z179" s="35" t="s">
        <v>255</v>
      </c>
      <c r="AA179" s="35" t="s">
        <v>255</v>
      </c>
      <c r="AB179" s="35" t="s">
        <v>255</v>
      </c>
      <c r="AC179" s="35" t="s">
        <v>255</v>
      </c>
      <c r="AD179" s="35" t="s">
        <v>255</v>
      </c>
      <c r="AE179" s="35" t="s">
        <v>259</v>
      </c>
      <c r="AF179" s="35" t="s">
        <v>255</v>
      </c>
      <c r="AG179" s="35" t="s">
        <v>255</v>
      </c>
      <c r="AH179" s="35" t="s">
        <v>255</v>
      </c>
      <c r="AI179" s="35" t="s">
        <v>255</v>
      </c>
      <c r="AJ179" s="35" t="s">
        <v>255</v>
      </c>
      <c r="AK179" s="8" t="s">
        <v>260</v>
      </c>
      <c r="AL179" s="8" t="s">
        <v>260</v>
      </c>
      <c r="AM179" s="8" t="s">
        <v>383</v>
      </c>
      <c r="AN179" s="8" t="s">
        <v>315</v>
      </c>
      <c r="AO179" s="8" t="s">
        <v>294</v>
      </c>
      <c r="AP179" s="35" t="s">
        <v>272</v>
      </c>
      <c r="AQ179" s="39" t="n">
        <v>41.6</v>
      </c>
      <c r="AR179" s="39" t="n">
        <v>4.6</v>
      </c>
      <c r="AS179" s="33" t="n">
        <v>4</v>
      </c>
      <c r="AT179" s="45"/>
      <c r="AU179" s="45" t="n">
        <v>595.11</v>
      </c>
      <c r="AV179" s="45" t="n">
        <v>314</v>
      </c>
      <c r="AW179" s="39" t="n">
        <v>82.1</v>
      </c>
      <c r="AX179" s="39" t="n">
        <v>34.1</v>
      </c>
      <c r="AY179" s="39" t="n">
        <v>14.2</v>
      </c>
      <c r="AZ179" s="39" t="n">
        <v>90</v>
      </c>
      <c r="BA179" s="39" t="n">
        <v>0</v>
      </c>
      <c r="BB179" s="39" t="n">
        <v>44.5</v>
      </c>
      <c r="BC179" s="8" t="s">
        <v>711</v>
      </c>
      <c r="BD179" s="47" t="s">
        <v>423</v>
      </c>
      <c r="BE179" s="41" t="s">
        <v>712</v>
      </c>
    </row>
    <row r="180" customFormat="false" ht="15" hidden="false" customHeight="false" outlineLevel="0" collapsed="false">
      <c r="A180" s="33" t="n">
        <f aca="false">RANK(B180,$B$5:$B$266)</f>
        <v>176</v>
      </c>
      <c r="B180" s="34" t="n">
        <f aca="false">ROUND((AW180*'Scoring Weights'!$B$5+AX180*'Scoring Weights'!$B$6+AY180*'Scoring Weights'!$B$7+BA180*'Scoring Weights'!$B$8+AZ180*'Scoring Weights'!$B$9+BB180*'Scoring Weights'!$B$10)/MAX('Scoring Weights'!$B$11,1),1)</f>
        <v>46.1</v>
      </c>
      <c r="C180" s="35" t="str">
        <f aca="false">IF(AND(H180&lt;='Search Criteria'!$B$5,D180&gt;='Search Criteria'!$B$6,AQ180&lt;='Search Criteria'!$B$7,I180&lt;=INDEX('Search Criteria'!$B$18:$B$20,MATCH(E180,'Search Criteria'!$A$18:$A$20,0)),OR(NOT('Search Criteria'!$B$8),L180&lt;&gt;"FWD"),OR(NOT('Search Criteria'!$B$9),T180="Yes"),OR(NOT('Search Criteria'!$B$10),W180&gt;0),OR(NOT('Search Criteria'!$B$11),X180="Yes"),OR(NOT('Search Criteria'!$B$12),O180="GREAT",O180="GOOD"),OR(NOT('Search Criteria'!$B$13),K180="Yes")),"YES","no")</f>
        <v>no</v>
      </c>
      <c r="D180" s="33" t="n">
        <v>2022</v>
      </c>
      <c r="E180" s="8" t="s">
        <v>94</v>
      </c>
      <c r="F180" s="8" t="s">
        <v>232</v>
      </c>
      <c r="G180" s="8" t="s">
        <v>254</v>
      </c>
      <c r="H180" s="45" t="n">
        <v>28670</v>
      </c>
      <c r="I180" s="46" t="n">
        <v>61279</v>
      </c>
      <c r="J180" s="37" t="n">
        <f aca="false">IFERROR(ROUND(I180/MAX(2026-D180,0.5),0),"")</f>
        <v>15320</v>
      </c>
      <c r="K180" s="35" t="s">
        <v>259</v>
      </c>
      <c r="L180" s="35" t="s">
        <v>256</v>
      </c>
      <c r="M180" s="35" t="s">
        <v>257</v>
      </c>
      <c r="N180" s="33" t="n">
        <v>29</v>
      </c>
      <c r="O180" s="35" t="s">
        <v>297</v>
      </c>
      <c r="P180" s="45" t="n">
        <v>28397</v>
      </c>
      <c r="Q180" s="38" t="n">
        <v>-0.01</v>
      </c>
      <c r="R180" s="35" t="s">
        <v>258</v>
      </c>
      <c r="S180" s="45" t="n">
        <v>370</v>
      </c>
      <c r="T180" s="35" t="s">
        <v>259</v>
      </c>
      <c r="U180" s="33" t="n">
        <v>1</v>
      </c>
      <c r="V180" s="35" t="s">
        <v>255</v>
      </c>
      <c r="W180" s="33" t="n">
        <v>3</v>
      </c>
      <c r="X180" s="35" t="s">
        <v>255</v>
      </c>
      <c r="Y180" s="35" t="s">
        <v>255</v>
      </c>
      <c r="Z180" s="35" t="s">
        <v>259</v>
      </c>
      <c r="AA180" s="35" t="s">
        <v>255</v>
      </c>
      <c r="AB180" s="35" t="s">
        <v>255</v>
      </c>
      <c r="AC180" s="35" t="s">
        <v>255</v>
      </c>
      <c r="AD180" s="35" t="s">
        <v>255</v>
      </c>
      <c r="AE180" s="35" t="s">
        <v>259</v>
      </c>
      <c r="AF180" s="35" t="s">
        <v>259</v>
      </c>
      <c r="AG180" s="35" t="s">
        <v>259</v>
      </c>
      <c r="AH180" s="35" t="s">
        <v>259</v>
      </c>
      <c r="AI180" s="35" t="s">
        <v>255</v>
      </c>
      <c r="AJ180" s="35" t="s">
        <v>259</v>
      </c>
      <c r="AK180" s="8" t="s">
        <v>261</v>
      </c>
      <c r="AL180" s="8" t="s">
        <v>261</v>
      </c>
      <c r="AM180" s="8" t="s">
        <v>262</v>
      </c>
      <c r="AN180" s="8" t="s">
        <v>713</v>
      </c>
      <c r="AO180" s="8" t="s">
        <v>280</v>
      </c>
      <c r="AP180" s="35" t="s">
        <v>265</v>
      </c>
      <c r="AQ180" s="39" t="n">
        <v>11.4</v>
      </c>
      <c r="AR180" s="39" t="n">
        <v>4.6</v>
      </c>
      <c r="AS180" s="33" t="n">
        <v>4</v>
      </c>
      <c r="AT180" s="45" t="n">
        <v>-670</v>
      </c>
      <c r="AU180" s="45" t="n">
        <v>512.15</v>
      </c>
      <c r="AV180" s="45" t="n">
        <v>250</v>
      </c>
      <c r="AW180" s="39" t="n">
        <v>78</v>
      </c>
      <c r="AX180" s="39" t="n">
        <v>51.3</v>
      </c>
      <c r="AY180" s="39" t="n">
        <v>15.4</v>
      </c>
      <c r="AZ180" s="39" t="n">
        <v>54</v>
      </c>
      <c r="BA180" s="39" t="n">
        <v>0</v>
      </c>
      <c r="BB180" s="39" t="n">
        <v>84.8</v>
      </c>
      <c r="BC180" s="8" t="s">
        <v>714</v>
      </c>
      <c r="BD180" s="47" t="s">
        <v>431</v>
      </c>
      <c r="BE180" s="41" t="s">
        <v>715</v>
      </c>
    </row>
    <row r="181" customFormat="false" ht="15" hidden="false" customHeight="false" outlineLevel="0" collapsed="false">
      <c r="A181" s="33" t="n">
        <f aca="false">RANK(B181,$B$5:$B$266)</f>
        <v>176</v>
      </c>
      <c r="B181" s="34" t="n">
        <f aca="false">ROUND((AW181*'Scoring Weights'!$B$5+AX181*'Scoring Weights'!$B$6+AY181*'Scoring Weights'!$B$7+BA181*'Scoring Weights'!$B$8+AZ181*'Scoring Weights'!$B$9+BB181*'Scoring Weights'!$B$10)/MAX('Scoring Weights'!$B$11,1),1)</f>
        <v>46.1</v>
      </c>
      <c r="C181" s="35" t="str">
        <f aca="false">IF(AND(H181&lt;='Search Criteria'!$B$5,D181&gt;='Search Criteria'!$B$6,AQ181&lt;='Search Criteria'!$B$7,I181&lt;=INDEX('Search Criteria'!$B$18:$B$20,MATCH(E181,'Search Criteria'!$A$18:$A$20,0)),OR(NOT('Search Criteria'!$B$8),L181&lt;&gt;"FWD"),OR(NOT('Search Criteria'!$B$9),T181="Yes"),OR(NOT('Search Criteria'!$B$10),W181&gt;0),OR(NOT('Search Criteria'!$B$11),X181="Yes"),OR(NOT('Search Criteria'!$B$12),O181="GREAT",O181="GOOD"),OR(NOT('Search Criteria'!$B$13),K181="Yes")),"YES","no")</f>
        <v>no</v>
      </c>
      <c r="D181" s="33" t="n">
        <v>2022</v>
      </c>
      <c r="E181" s="8" t="s">
        <v>95</v>
      </c>
      <c r="F181" s="8" t="s">
        <v>234</v>
      </c>
      <c r="G181" s="8" t="s">
        <v>275</v>
      </c>
      <c r="H181" s="45" t="n">
        <v>23995</v>
      </c>
      <c r="I181" s="46" t="n">
        <v>62116</v>
      </c>
      <c r="J181" s="37" t="n">
        <f aca="false">IFERROR(ROUND(I181/MAX(2026-D181,0.5),0),"")</f>
        <v>15529</v>
      </c>
      <c r="K181" s="35" t="s">
        <v>259</v>
      </c>
      <c r="L181" s="35" t="s">
        <v>256</v>
      </c>
      <c r="M181" s="35" t="s">
        <v>257</v>
      </c>
      <c r="N181" s="33" t="n">
        <v>29</v>
      </c>
      <c r="O181" s="35" t="s">
        <v>286</v>
      </c>
      <c r="P181" s="45" t="n">
        <v>22817</v>
      </c>
      <c r="Q181" s="38" t="n">
        <v>-0.052</v>
      </c>
      <c r="R181" s="35" t="s">
        <v>258</v>
      </c>
      <c r="S181" s="45" t="n">
        <v>320</v>
      </c>
      <c r="T181" s="35" t="s">
        <v>255</v>
      </c>
      <c r="U181" s="33" t="n">
        <v>1</v>
      </c>
      <c r="V181" s="35" t="s">
        <v>255</v>
      </c>
      <c r="W181" s="33" t="n">
        <v>2</v>
      </c>
      <c r="X181" s="35" t="s">
        <v>255</v>
      </c>
      <c r="Y181" s="35" t="s">
        <v>255</v>
      </c>
      <c r="Z181" s="35" t="s">
        <v>259</v>
      </c>
      <c r="AA181" s="35" t="s">
        <v>259</v>
      </c>
      <c r="AB181" s="35" t="s">
        <v>255</v>
      </c>
      <c r="AC181" s="35" t="s">
        <v>255</v>
      </c>
      <c r="AD181" s="35" t="s">
        <v>255</v>
      </c>
      <c r="AE181" s="35" t="s">
        <v>259</v>
      </c>
      <c r="AF181" s="35" t="s">
        <v>255</v>
      </c>
      <c r="AG181" s="35" t="s">
        <v>259</v>
      </c>
      <c r="AH181" s="35" t="s">
        <v>255</v>
      </c>
      <c r="AI181" s="35" t="s">
        <v>255</v>
      </c>
      <c r="AJ181" s="35" t="s">
        <v>255</v>
      </c>
      <c r="AK181" s="8" t="s">
        <v>309</v>
      </c>
      <c r="AL181" s="8" t="s">
        <v>261</v>
      </c>
      <c r="AM181" s="8" t="s">
        <v>278</v>
      </c>
      <c r="AN181" s="8" t="s">
        <v>716</v>
      </c>
      <c r="AO181" s="8" t="s">
        <v>572</v>
      </c>
      <c r="AP181" s="35" t="s">
        <v>265</v>
      </c>
      <c r="AQ181" s="39" t="n">
        <v>64.7</v>
      </c>
      <c r="AR181" s="39" t="n">
        <v>4.8</v>
      </c>
      <c r="AS181" s="33" t="n">
        <v>10</v>
      </c>
      <c r="AT181" s="45"/>
      <c r="AU181" s="45" t="n">
        <v>428.64</v>
      </c>
      <c r="AV181" s="45" t="n">
        <v>164</v>
      </c>
      <c r="AW181" s="39" t="n">
        <v>90.4</v>
      </c>
      <c r="AX181" s="39" t="n">
        <v>57.7</v>
      </c>
      <c r="AY181" s="39" t="n">
        <v>6.2</v>
      </c>
      <c r="AZ181" s="39" t="n">
        <v>58</v>
      </c>
      <c r="BA181" s="39" t="n">
        <v>0</v>
      </c>
      <c r="BB181" s="39" t="n">
        <v>13.8</v>
      </c>
      <c r="BC181" s="8" t="s">
        <v>717</v>
      </c>
      <c r="BD181" s="47" t="s">
        <v>718</v>
      </c>
      <c r="BE181" s="41" t="s">
        <v>719</v>
      </c>
    </row>
    <row r="182" customFormat="false" ht="15" hidden="false" customHeight="false" outlineLevel="0" collapsed="false">
      <c r="A182" s="33" t="n">
        <f aca="false">RANK(B182,$B$5:$B$266)</f>
        <v>176</v>
      </c>
      <c r="B182" s="34" t="n">
        <f aca="false">ROUND((AW182*'Scoring Weights'!$B$5+AX182*'Scoring Weights'!$B$6+AY182*'Scoring Weights'!$B$7+BA182*'Scoring Weights'!$B$8+AZ182*'Scoring Weights'!$B$9+BB182*'Scoring Weights'!$B$10)/MAX('Scoring Weights'!$B$11,1),1)</f>
        <v>46.1</v>
      </c>
      <c r="C182" s="35" t="str">
        <f aca="false">IF(AND(H182&lt;='Search Criteria'!$B$5,D182&gt;='Search Criteria'!$B$6,AQ182&lt;='Search Criteria'!$B$7,I182&lt;=INDEX('Search Criteria'!$B$18:$B$20,MATCH(E182,'Search Criteria'!$A$18:$A$20,0)),OR(NOT('Search Criteria'!$B$8),L182&lt;&gt;"FWD"),OR(NOT('Search Criteria'!$B$9),T182="Yes"),OR(NOT('Search Criteria'!$B$10),W182&gt;0),OR(NOT('Search Criteria'!$B$11),X182="Yes"),OR(NOT('Search Criteria'!$B$12),O182="GREAT",O182="GOOD"),OR(NOT('Search Criteria'!$B$13),K182="Yes")),"YES","no")</f>
        <v>no</v>
      </c>
      <c r="D182" s="33" t="n">
        <v>2025</v>
      </c>
      <c r="E182" s="8" t="s">
        <v>92</v>
      </c>
      <c r="F182" s="8" t="s">
        <v>236</v>
      </c>
      <c r="G182" s="8" t="s">
        <v>338</v>
      </c>
      <c r="H182" s="45" t="n">
        <v>31250</v>
      </c>
      <c r="I182" s="46" t="n">
        <v>26720</v>
      </c>
      <c r="J182" s="37" t="n">
        <f aca="false">IFERROR(ROUND(I182/MAX(2026-D182,0.5),0),"")</f>
        <v>26720</v>
      </c>
      <c r="K182" s="35" t="s">
        <v>259</v>
      </c>
      <c r="L182" s="35" t="s">
        <v>256</v>
      </c>
      <c r="M182" s="35" t="s">
        <v>257</v>
      </c>
      <c r="N182" s="33" t="n">
        <v>30</v>
      </c>
      <c r="O182" s="35" t="s">
        <v>286</v>
      </c>
      <c r="P182" s="45" t="n">
        <v>35038</v>
      </c>
      <c r="Q182" s="38" t="n">
        <v>0.108</v>
      </c>
      <c r="R182" s="35" t="s">
        <v>258</v>
      </c>
      <c r="S182" s="45" t="n">
        <v>380</v>
      </c>
      <c r="T182" s="35" t="s">
        <v>259</v>
      </c>
      <c r="U182" s="33" t="n">
        <v>1</v>
      </c>
      <c r="V182" s="35" t="s">
        <v>259</v>
      </c>
      <c r="W182" s="33" t="n">
        <v>0</v>
      </c>
      <c r="X182" s="35" t="s">
        <v>259</v>
      </c>
      <c r="Y182" s="35" t="s">
        <v>255</v>
      </c>
      <c r="Z182" s="35" t="s">
        <v>259</v>
      </c>
      <c r="AA182" s="35" t="s">
        <v>259</v>
      </c>
      <c r="AB182" s="35" t="s">
        <v>259</v>
      </c>
      <c r="AC182" s="35" t="s">
        <v>259</v>
      </c>
      <c r="AD182" s="35" t="s">
        <v>259</v>
      </c>
      <c r="AE182" s="35" t="s">
        <v>259</v>
      </c>
      <c r="AF182" s="35" t="s">
        <v>259</v>
      </c>
      <c r="AG182" s="35" t="s">
        <v>259</v>
      </c>
      <c r="AH182" s="35" t="s">
        <v>259</v>
      </c>
      <c r="AI182" s="35" t="s">
        <v>259</v>
      </c>
      <c r="AJ182" s="35" t="s">
        <v>259</v>
      </c>
      <c r="AK182" s="8" t="s">
        <v>261</v>
      </c>
      <c r="AL182" s="8" t="s">
        <v>261</v>
      </c>
      <c r="AM182" s="8" t="s">
        <v>278</v>
      </c>
      <c r="AN182" s="8" t="s">
        <v>339</v>
      </c>
      <c r="AO182" s="8" t="s">
        <v>340</v>
      </c>
      <c r="AP182" s="35" t="s">
        <v>265</v>
      </c>
      <c r="AQ182" s="39" t="n">
        <v>59.9</v>
      </c>
      <c r="AR182" s="39" t="n">
        <v>4.5</v>
      </c>
      <c r="AS182" s="33" t="n">
        <v>3</v>
      </c>
      <c r="AT182" s="45"/>
      <c r="AU182" s="45" t="n">
        <v>558.24</v>
      </c>
      <c r="AV182" s="45" t="n">
        <v>262</v>
      </c>
      <c r="AW182" s="39" t="n">
        <v>68.8</v>
      </c>
      <c r="AX182" s="39" t="n">
        <v>81.6</v>
      </c>
      <c r="AY182" s="39" t="n">
        <v>51.3</v>
      </c>
      <c r="AZ182" s="39" t="n">
        <v>0</v>
      </c>
      <c r="BA182" s="39" t="n">
        <v>0</v>
      </c>
      <c r="BB182" s="39" t="n">
        <v>20.2</v>
      </c>
      <c r="BC182" s="8" t="s">
        <v>720</v>
      </c>
      <c r="BD182" s="47" t="s">
        <v>290</v>
      </c>
      <c r="BE182" s="41" t="s">
        <v>721</v>
      </c>
    </row>
    <row r="183" customFormat="false" ht="15" hidden="false" customHeight="false" outlineLevel="0" collapsed="false">
      <c r="A183" s="33" t="n">
        <f aca="false">RANK(B183,$B$5:$B$266)</f>
        <v>176</v>
      </c>
      <c r="B183" s="34" t="n">
        <f aca="false">ROUND((AW183*'Scoring Weights'!$B$5+AX183*'Scoring Weights'!$B$6+AY183*'Scoring Weights'!$B$7+BA183*'Scoring Weights'!$B$8+AZ183*'Scoring Weights'!$B$9+BB183*'Scoring Weights'!$B$10)/MAX('Scoring Weights'!$B$11,1),1)</f>
        <v>46.1</v>
      </c>
      <c r="C183" s="35" t="str">
        <f aca="false">IF(AND(H183&lt;='Search Criteria'!$B$5,D183&gt;='Search Criteria'!$B$6,AQ183&lt;='Search Criteria'!$B$7,I183&lt;=INDEX('Search Criteria'!$B$18:$B$20,MATCH(E183,'Search Criteria'!$A$18:$A$20,0)),OR(NOT('Search Criteria'!$B$8),L183&lt;&gt;"FWD"),OR(NOT('Search Criteria'!$B$9),T183="Yes"),OR(NOT('Search Criteria'!$B$10),W183&gt;0),OR(NOT('Search Criteria'!$B$11),X183="Yes"),OR(NOT('Search Criteria'!$B$12),O183="GREAT",O183="GOOD"),OR(NOT('Search Criteria'!$B$13),K183="Yes")),"YES","no")</f>
        <v>no</v>
      </c>
      <c r="D183" s="33" t="n">
        <v>2025</v>
      </c>
      <c r="E183" s="8" t="s">
        <v>92</v>
      </c>
      <c r="F183" s="8" t="s">
        <v>236</v>
      </c>
      <c r="G183" s="8" t="s">
        <v>296</v>
      </c>
      <c r="H183" s="45" t="n">
        <v>32255</v>
      </c>
      <c r="I183" s="46" t="n">
        <v>29515</v>
      </c>
      <c r="J183" s="37" t="n">
        <f aca="false">IFERROR(ROUND(I183/MAX(2026-D183,0.5),0),"")</f>
        <v>29515</v>
      </c>
      <c r="K183" s="35" t="s">
        <v>259</v>
      </c>
      <c r="L183" s="35" t="s">
        <v>285</v>
      </c>
      <c r="M183" s="35" t="s">
        <v>257</v>
      </c>
      <c r="N183" s="33" t="n">
        <v>30</v>
      </c>
      <c r="O183" s="35" t="s">
        <v>297</v>
      </c>
      <c r="P183" s="45" t="n">
        <v>34815</v>
      </c>
      <c r="Q183" s="38" t="n">
        <v>0.074</v>
      </c>
      <c r="R183" s="35" t="s">
        <v>258</v>
      </c>
      <c r="S183" s="45" t="n">
        <v>310</v>
      </c>
      <c r="T183" s="35" t="s">
        <v>259</v>
      </c>
      <c r="U183" s="33" t="n">
        <v>1</v>
      </c>
      <c r="V183" s="35" t="s">
        <v>259</v>
      </c>
      <c r="W183" s="33" t="n">
        <v>2</v>
      </c>
      <c r="X183" s="35" t="s">
        <v>259</v>
      </c>
      <c r="Y183" s="35" t="s">
        <v>255</v>
      </c>
      <c r="Z183" s="35" t="s">
        <v>259</v>
      </c>
      <c r="AA183" s="35" t="s">
        <v>259</v>
      </c>
      <c r="AB183" s="35" t="s">
        <v>255</v>
      </c>
      <c r="AC183" s="35" t="s">
        <v>259</v>
      </c>
      <c r="AD183" s="35" t="s">
        <v>259</v>
      </c>
      <c r="AE183" s="35" t="s">
        <v>255</v>
      </c>
      <c r="AF183" s="35" t="s">
        <v>259</v>
      </c>
      <c r="AG183" s="35" t="s">
        <v>259</v>
      </c>
      <c r="AH183" s="35" t="s">
        <v>259</v>
      </c>
      <c r="AI183" s="35" t="s">
        <v>255</v>
      </c>
      <c r="AJ183" s="35" t="s">
        <v>259</v>
      </c>
      <c r="AK183" s="8" t="s">
        <v>260</v>
      </c>
      <c r="AL183" s="8" t="s">
        <v>261</v>
      </c>
      <c r="AM183" s="8" t="s">
        <v>278</v>
      </c>
      <c r="AN183" s="8" t="s">
        <v>622</v>
      </c>
      <c r="AO183" s="8" t="s">
        <v>340</v>
      </c>
      <c r="AP183" s="35" t="s">
        <v>265</v>
      </c>
      <c r="AQ183" s="39" t="n">
        <v>60.1</v>
      </c>
      <c r="AR183" s="39" t="n">
        <v>4.3</v>
      </c>
      <c r="AS183" s="33" t="n">
        <v>74</v>
      </c>
      <c r="AT183" s="45"/>
      <c r="AU183" s="45" t="n">
        <v>576.19</v>
      </c>
      <c r="AV183" s="45" t="n">
        <v>261</v>
      </c>
      <c r="AW183" s="39" t="n">
        <v>71.2</v>
      </c>
      <c r="AX183" s="39" t="n">
        <v>63.8</v>
      </c>
      <c r="AY183" s="39" t="n">
        <v>49.3</v>
      </c>
      <c r="AZ183" s="39" t="n">
        <v>26</v>
      </c>
      <c r="BA183" s="39" t="n">
        <v>0</v>
      </c>
      <c r="BB183" s="39" t="n">
        <v>19.8</v>
      </c>
      <c r="BC183" s="8" t="s">
        <v>722</v>
      </c>
      <c r="BD183" s="47" t="s">
        <v>290</v>
      </c>
      <c r="BE183" s="41" t="s">
        <v>723</v>
      </c>
    </row>
    <row r="184" customFormat="false" ht="15" hidden="false" customHeight="false" outlineLevel="0" collapsed="false">
      <c r="A184" s="33" t="n">
        <f aca="false">RANK(B184,$B$5:$B$266)</f>
        <v>180</v>
      </c>
      <c r="B184" s="34" t="n">
        <f aca="false">ROUND((AW184*'Scoring Weights'!$B$5+AX184*'Scoring Weights'!$B$6+AY184*'Scoring Weights'!$B$7+BA184*'Scoring Weights'!$B$8+AZ184*'Scoring Weights'!$B$9+BB184*'Scoring Weights'!$B$10)/MAX('Scoring Weights'!$B$11,1),1)</f>
        <v>45.8</v>
      </c>
      <c r="C184" s="35" t="str">
        <f aca="false">IF(AND(H184&lt;='Search Criteria'!$B$5,D184&gt;='Search Criteria'!$B$6,AQ184&lt;='Search Criteria'!$B$7,I184&lt;=INDEX('Search Criteria'!$B$18:$B$20,MATCH(E184,'Search Criteria'!$A$18:$A$20,0)),OR(NOT('Search Criteria'!$B$8),L184&lt;&gt;"FWD"),OR(NOT('Search Criteria'!$B$9),T184="Yes"),OR(NOT('Search Criteria'!$B$10),W184&gt;0),OR(NOT('Search Criteria'!$B$11),X184="Yes"),OR(NOT('Search Criteria'!$B$12),O184="GREAT",O184="GOOD"),OR(NOT('Search Criteria'!$B$13),K184="Yes")),"YES","no")</f>
        <v>no</v>
      </c>
      <c r="D184" s="33" t="n">
        <v>2022</v>
      </c>
      <c r="E184" s="8" t="s">
        <v>92</v>
      </c>
      <c r="F184" s="8" t="s">
        <v>236</v>
      </c>
      <c r="G184" s="8" t="s">
        <v>338</v>
      </c>
      <c r="H184" s="45" t="n">
        <v>25165</v>
      </c>
      <c r="I184" s="46" t="n">
        <v>55885</v>
      </c>
      <c r="J184" s="37" t="n">
        <f aca="false">IFERROR(ROUND(I184/MAX(2026-D184,0.5),0),"")</f>
        <v>13971</v>
      </c>
      <c r="K184" s="35" t="s">
        <v>259</v>
      </c>
      <c r="L184" s="35" t="s">
        <v>285</v>
      </c>
      <c r="M184" s="35" t="s">
        <v>257</v>
      </c>
      <c r="N184" s="33" t="n">
        <v>30</v>
      </c>
      <c r="O184" s="35" t="s">
        <v>286</v>
      </c>
      <c r="P184" s="45" t="n">
        <v>29127</v>
      </c>
      <c r="Q184" s="38" t="n">
        <v>0.136</v>
      </c>
      <c r="R184" s="35" t="s">
        <v>258</v>
      </c>
      <c r="S184" s="45" t="n">
        <v>150</v>
      </c>
      <c r="T184" s="35" t="s">
        <v>259</v>
      </c>
      <c r="U184" s="33" t="n">
        <v>4</v>
      </c>
      <c r="V184" s="35" t="s">
        <v>259</v>
      </c>
      <c r="W184" s="33" t="n">
        <v>4</v>
      </c>
      <c r="X184" s="35" t="s">
        <v>259</v>
      </c>
      <c r="Y184" s="35" t="s">
        <v>255</v>
      </c>
      <c r="Z184" s="35" t="s">
        <v>259</v>
      </c>
      <c r="AA184" s="35" t="s">
        <v>259</v>
      </c>
      <c r="AB184" s="35" t="s">
        <v>259</v>
      </c>
      <c r="AC184" s="35" t="s">
        <v>259</v>
      </c>
      <c r="AD184" s="35" t="s">
        <v>259</v>
      </c>
      <c r="AE184" s="35" t="s">
        <v>259</v>
      </c>
      <c r="AF184" s="35" t="s">
        <v>259</v>
      </c>
      <c r="AG184" s="35" t="s">
        <v>259</v>
      </c>
      <c r="AH184" s="35" t="s">
        <v>259</v>
      </c>
      <c r="AI184" s="35" t="s">
        <v>259</v>
      </c>
      <c r="AJ184" s="35" t="s">
        <v>259</v>
      </c>
      <c r="AK184" s="8" t="s">
        <v>358</v>
      </c>
      <c r="AL184" s="8" t="s">
        <v>261</v>
      </c>
      <c r="AM184" s="8" t="s">
        <v>278</v>
      </c>
      <c r="AN184" s="8" t="s">
        <v>724</v>
      </c>
      <c r="AO184" s="8" t="s">
        <v>725</v>
      </c>
      <c r="AP184" s="35" t="s">
        <v>272</v>
      </c>
      <c r="AQ184" s="39" t="n">
        <v>34.6</v>
      </c>
      <c r="AR184" s="39" t="n">
        <v>4.3</v>
      </c>
      <c r="AS184" s="33" t="n">
        <v>11</v>
      </c>
      <c r="AT184" s="45" t="n">
        <v>-202</v>
      </c>
      <c r="AU184" s="45" t="n">
        <v>449.54</v>
      </c>
      <c r="AV184" s="45" t="n">
        <v>280</v>
      </c>
      <c r="AW184" s="39" t="n">
        <v>64.8</v>
      </c>
      <c r="AX184" s="39" t="n">
        <v>85.8</v>
      </c>
      <c r="AY184" s="39" t="n">
        <v>41</v>
      </c>
      <c r="AZ184" s="39" t="n">
        <v>0</v>
      </c>
      <c r="BA184" s="39" t="n">
        <v>0</v>
      </c>
      <c r="BB184" s="39" t="n">
        <v>53.8</v>
      </c>
      <c r="BC184" s="8" t="s">
        <v>726</v>
      </c>
      <c r="BD184" s="47" t="s">
        <v>365</v>
      </c>
      <c r="BE184" s="41" t="s">
        <v>727</v>
      </c>
    </row>
    <row r="185" customFormat="false" ht="15" hidden="false" customHeight="false" outlineLevel="0" collapsed="false">
      <c r="A185" s="33" t="n">
        <f aca="false">RANK(B185,$B$5:$B$266)</f>
        <v>180</v>
      </c>
      <c r="B185" s="34" t="n">
        <f aca="false">ROUND((AW185*'Scoring Weights'!$B$5+AX185*'Scoring Weights'!$B$6+AY185*'Scoring Weights'!$B$7+BA185*'Scoring Weights'!$B$8+AZ185*'Scoring Weights'!$B$9+BB185*'Scoring Weights'!$B$10)/MAX('Scoring Weights'!$B$11,1),1)</f>
        <v>45.8</v>
      </c>
      <c r="C185" s="35" t="str">
        <f aca="false">IF(AND(H185&lt;='Search Criteria'!$B$5,D185&gt;='Search Criteria'!$B$6,AQ185&lt;='Search Criteria'!$B$7,I185&lt;=INDEX('Search Criteria'!$B$18:$B$20,MATCH(E185,'Search Criteria'!$A$18:$A$20,0)),OR(NOT('Search Criteria'!$B$8),L185&lt;&gt;"FWD"),OR(NOT('Search Criteria'!$B$9),T185="Yes"),OR(NOT('Search Criteria'!$B$10),W185&gt;0),OR(NOT('Search Criteria'!$B$11),X185="Yes"),OR(NOT('Search Criteria'!$B$12),O185="GREAT",O185="GOOD"),OR(NOT('Search Criteria'!$B$13),K185="Yes")),"YES","no")</f>
        <v>no</v>
      </c>
      <c r="D185" s="33" t="n">
        <v>2025</v>
      </c>
      <c r="E185" s="8" t="s">
        <v>92</v>
      </c>
      <c r="F185" s="8" t="s">
        <v>236</v>
      </c>
      <c r="G185" s="8" t="s">
        <v>296</v>
      </c>
      <c r="H185" s="45" t="n">
        <v>35010</v>
      </c>
      <c r="I185" s="46" t="n">
        <v>47173</v>
      </c>
      <c r="J185" s="37" t="n">
        <f aca="false">IFERROR(ROUND(I185/MAX(2026-D185,0.5),0),"")</f>
        <v>47173</v>
      </c>
      <c r="K185" s="35" t="s">
        <v>259</v>
      </c>
      <c r="L185" s="35" t="s">
        <v>256</v>
      </c>
      <c r="M185" s="35" t="s">
        <v>302</v>
      </c>
      <c r="N185" s="33" t="n">
        <v>39</v>
      </c>
      <c r="O185" s="35" t="s">
        <v>276</v>
      </c>
      <c r="P185" s="45" t="n">
        <v>33406</v>
      </c>
      <c r="Q185" s="38" t="n">
        <v>-0.048</v>
      </c>
      <c r="R185" s="35" t="s">
        <v>258</v>
      </c>
      <c r="S185" s="45" t="n">
        <v>380</v>
      </c>
      <c r="T185" s="35" t="s">
        <v>255</v>
      </c>
      <c r="U185" s="33" t="n">
        <v>1</v>
      </c>
      <c r="V185" s="35" t="s">
        <v>259</v>
      </c>
      <c r="W185" s="33" t="n">
        <v>2</v>
      </c>
      <c r="X185" s="35" t="s">
        <v>259</v>
      </c>
      <c r="Y185" s="35" t="s">
        <v>255</v>
      </c>
      <c r="Z185" s="35" t="s">
        <v>259</v>
      </c>
      <c r="AA185" s="35" t="s">
        <v>259</v>
      </c>
      <c r="AB185" s="35" t="s">
        <v>255</v>
      </c>
      <c r="AC185" s="35" t="s">
        <v>259</v>
      </c>
      <c r="AD185" s="35" t="s">
        <v>259</v>
      </c>
      <c r="AE185" s="35" t="s">
        <v>259</v>
      </c>
      <c r="AF185" s="35" t="s">
        <v>259</v>
      </c>
      <c r="AG185" s="35" t="s">
        <v>259</v>
      </c>
      <c r="AH185" s="35" t="s">
        <v>259</v>
      </c>
      <c r="AI185" s="35" t="s">
        <v>255</v>
      </c>
      <c r="AJ185" s="35" t="s">
        <v>259</v>
      </c>
      <c r="AK185" s="8" t="s">
        <v>260</v>
      </c>
      <c r="AL185" s="8" t="s">
        <v>261</v>
      </c>
      <c r="AM185" s="8" t="s">
        <v>278</v>
      </c>
      <c r="AN185" s="8" t="s">
        <v>594</v>
      </c>
      <c r="AO185" s="8" t="s">
        <v>448</v>
      </c>
      <c r="AP185" s="35" t="s">
        <v>265</v>
      </c>
      <c r="AQ185" s="39" t="n">
        <v>16</v>
      </c>
      <c r="AR185" s="39" t="n">
        <v>4.5</v>
      </c>
      <c r="AS185" s="33" t="n">
        <v>20</v>
      </c>
      <c r="AT185" s="45"/>
      <c r="AU185" s="45" t="n">
        <v>625.4</v>
      </c>
      <c r="AV185" s="45"/>
      <c r="AW185" s="39" t="n">
        <v>84.8</v>
      </c>
      <c r="AX185" s="39" t="n">
        <v>49.4</v>
      </c>
      <c r="AY185" s="39" t="n">
        <v>37</v>
      </c>
      <c r="AZ185" s="39" t="n">
        <v>16</v>
      </c>
      <c r="BA185" s="39" t="n">
        <v>0</v>
      </c>
      <c r="BB185" s="39" t="n">
        <v>78.7</v>
      </c>
      <c r="BC185" s="8" t="s">
        <v>728</v>
      </c>
      <c r="BD185" s="47" t="s">
        <v>290</v>
      </c>
      <c r="BE185" s="41" t="s">
        <v>729</v>
      </c>
    </row>
    <row r="186" customFormat="false" ht="15" hidden="false" customHeight="false" outlineLevel="0" collapsed="false">
      <c r="A186" s="33" t="n">
        <f aca="false">RANK(B186,$B$5:$B$266)</f>
        <v>182</v>
      </c>
      <c r="B186" s="34" t="n">
        <f aca="false">ROUND((AW186*'Scoring Weights'!$B$5+AX186*'Scoring Weights'!$B$6+AY186*'Scoring Weights'!$B$7+BA186*'Scoring Weights'!$B$8+AZ186*'Scoring Weights'!$B$9+BB186*'Scoring Weights'!$B$10)/MAX('Scoring Weights'!$B$11,1),1)</f>
        <v>45.7</v>
      </c>
      <c r="C186" s="35" t="str">
        <f aca="false">IF(AND(H186&lt;='Search Criteria'!$B$5,D186&gt;='Search Criteria'!$B$6,AQ186&lt;='Search Criteria'!$B$7,I186&lt;=INDEX('Search Criteria'!$B$18:$B$20,MATCH(E186,'Search Criteria'!$A$18:$A$20,0)),OR(NOT('Search Criteria'!$B$8),L186&lt;&gt;"FWD"),OR(NOT('Search Criteria'!$B$9),T186="Yes"),OR(NOT('Search Criteria'!$B$10),W186&gt;0),OR(NOT('Search Criteria'!$B$11),X186="Yes"),OR(NOT('Search Criteria'!$B$12),O186="GREAT",O186="GOOD"),OR(NOT('Search Criteria'!$B$13),K186="Yes")),"YES","no")</f>
        <v>no</v>
      </c>
      <c r="D186" s="33" t="n">
        <v>2024</v>
      </c>
      <c r="E186" s="8" t="s">
        <v>95</v>
      </c>
      <c r="F186" s="8" t="s">
        <v>234</v>
      </c>
      <c r="G186" s="8" t="s">
        <v>275</v>
      </c>
      <c r="H186" s="45" t="n">
        <v>26715</v>
      </c>
      <c r="I186" s="46" t="n">
        <v>50691</v>
      </c>
      <c r="J186" s="37" t="n">
        <f aca="false">IFERROR(ROUND(I186/MAX(2026-D186,0.5),0),"")</f>
        <v>25346</v>
      </c>
      <c r="K186" s="35" t="s">
        <v>259</v>
      </c>
      <c r="L186" s="35" t="s">
        <v>256</v>
      </c>
      <c r="M186" s="35" t="s">
        <v>257</v>
      </c>
      <c r="N186" s="33" t="n">
        <v>28</v>
      </c>
      <c r="O186" s="35" t="s">
        <v>276</v>
      </c>
      <c r="P186" s="45" t="n">
        <v>27360</v>
      </c>
      <c r="Q186" s="38" t="n">
        <v>0.024</v>
      </c>
      <c r="R186" s="35" t="s">
        <v>277</v>
      </c>
      <c r="S186" s="45"/>
      <c r="T186" s="35" t="s">
        <v>255</v>
      </c>
      <c r="U186" s="33" t="n">
        <v>2</v>
      </c>
      <c r="V186" s="35" t="s">
        <v>259</v>
      </c>
      <c r="W186" s="33" t="n">
        <v>2</v>
      </c>
      <c r="X186" s="35" t="s">
        <v>255</v>
      </c>
      <c r="Y186" s="35" t="s">
        <v>255</v>
      </c>
      <c r="Z186" s="35" t="s">
        <v>255</v>
      </c>
      <c r="AA186" s="35" t="s">
        <v>255</v>
      </c>
      <c r="AB186" s="35" t="s">
        <v>255</v>
      </c>
      <c r="AC186" s="35" t="s">
        <v>255</v>
      </c>
      <c r="AD186" s="35" t="s">
        <v>255</v>
      </c>
      <c r="AE186" s="35" t="s">
        <v>259</v>
      </c>
      <c r="AF186" s="35" t="s">
        <v>255</v>
      </c>
      <c r="AG186" s="35" t="s">
        <v>259</v>
      </c>
      <c r="AH186" s="35" t="s">
        <v>255</v>
      </c>
      <c r="AI186" s="35" t="s">
        <v>255</v>
      </c>
      <c r="AJ186" s="35" t="s">
        <v>255</v>
      </c>
      <c r="AK186" s="8" t="s">
        <v>730</v>
      </c>
      <c r="AL186" s="8" t="s">
        <v>261</v>
      </c>
      <c r="AM186" s="8" t="s">
        <v>278</v>
      </c>
      <c r="AN186" s="8" t="s">
        <v>731</v>
      </c>
      <c r="AO186" s="8" t="s">
        <v>264</v>
      </c>
      <c r="AP186" s="35" t="s">
        <v>265</v>
      </c>
      <c r="AQ186" s="39" t="n">
        <v>0.3</v>
      </c>
      <c r="AR186" s="39" t="n">
        <v>4.7</v>
      </c>
      <c r="AS186" s="33" t="n">
        <v>76</v>
      </c>
      <c r="AT186" s="45"/>
      <c r="AU186" s="45" t="n">
        <v>477.23</v>
      </c>
      <c r="AV186" s="45"/>
      <c r="AW186" s="39" t="n">
        <v>61.7</v>
      </c>
      <c r="AX186" s="39" t="n">
        <v>60.1</v>
      </c>
      <c r="AY186" s="39" t="n">
        <v>0</v>
      </c>
      <c r="AZ186" s="39" t="n">
        <v>82</v>
      </c>
      <c r="BA186" s="39" t="n">
        <v>0</v>
      </c>
      <c r="BB186" s="39" t="n">
        <v>99.5</v>
      </c>
      <c r="BC186" s="8" t="s">
        <v>732</v>
      </c>
      <c r="BD186" s="47" t="s">
        <v>423</v>
      </c>
      <c r="BE186" s="41" t="s">
        <v>733</v>
      </c>
    </row>
    <row r="187" customFormat="false" ht="15" hidden="false" customHeight="false" outlineLevel="0" collapsed="false">
      <c r="A187" s="33" t="n">
        <f aca="false">RANK(B187,$B$5:$B$266)</f>
        <v>182</v>
      </c>
      <c r="B187" s="34" t="n">
        <f aca="false">ROUND((AW187*'Scoring Weights'!$B$5+AX187*'Scoring Weights'!$B$6+AY187*'Scoring Weights'!$B$7+BA187*'Scoring Weights'!$B$8+AZ187*'Scoring Weights'!$B$9+BB187*'Scoring Weights'!$B$10)/MAX('Scoring Weights'!$B$11,1),1)</f>
        <v>45.7</v>
      </c>
      <c r="C187" s="35" t="str">
        <f aca="false">IF(AND(H187&lt;='Search Criteria'!$B$5,D187&gt;='Search Criteria'!$B$6,AQ187&lt;='Search Criteria'!$B$7,I187&lt;=INDEX('Search Criteria'!$B$18:$B$20,MATCH(E187,'Search Criteria'!$A$18:$A$20,0)),OR(NOT('Search Criteria'!$B$8),L187&lt;&gt;"FWD"),OR(NOT('Search Criteria'!$B$9),T187="Yes"),OR(NOT('Search Criteria'!$B$10),W187&gt;0),OR(NOT('Search Criteria'!$B$11),X187="Yes"),OR(NOT('Search Criteria'!$B$12),O187="GREAT",O187="GOOD"),OR(NOT('Search Criteria'!$B$13),K187="Yes")),"YES","no")</f>
        <v>no</v>
      </c>
      <c r="D187" s="33" t="n">
        <v>2024</v>
      </c>
      <c r="E187" s="8" t="s">
        <v>92</v>
      </c>
      <c r="F187" s="8" t="s">
        <v>236</v>
      </c>
      <c r="G187" s="8" t="s">
        <v>296</v>
      </c>
      <c r="H187" s="45" t="n">
        <v>32604</v>
      </c>
      <c r="I187" s="46" t="n">
        <v>62400</v>
      </c>
      <c r="J187" s="37" t="n">
        <f aca="false">IFERROR(ROUND(I187/MAX(2026-D187,0.5),0),"")</f>
        <v>31200</v>
      </c>
      <c r="K187" s="35" t="s">
        <v>259</v>
      </c>
      <c r="L187" s="35" t="s">
        <v>256</v>
      </c>
      <c r="M187" s="35" t="s">
        <v>257</v>
      </c>
      <c r="N187" s="33" t="n">
        <v>28</v>
      </c>
      <c r="O187" s="35" t="s">
        <v>276</v>
      </c>
      <c r="P187" s="45" t="n">
        <v>30996</v>
      </c>
      <c r="Q187" s="38" t="n">
        <v>-0.052</v>
      </c>
      <c r="R187" s="35" t="s">
        <v>258</v>
      </c>
      <c r="S187" s="45" t="n">
        <v>290</v>
      </c>
      <c r="T187" s="35" t="s">
        <v>255</v>
      </c>
      <c r="U187" s="33" t="n">
        <v>1</v>
      </c>
      <c r="V187" s="35" t="s">
        <v>259</v>
      </c>
      <c r="W187" s="33" t="n">
        <v>3</v>
      </c>
      <c r="X187" s="35" t="s">
        <v>255</v>
      </c>
      <c r="Y187" s="35" t="s">
        <v>255</v>
      </c>
      <c r="Z187" s="35" t="s">
        <v>255</v>
      </c>
      <c r="AA187" s="35" t="s">
        <v>259</v>
      </c>
      <c r="AB187" s="35" t="s">
        <v>255</v>
      </c>
      <c r="AC187" s="35" t="s">
        <v>259</v>
      </c>
      <c r="AD187" s="35" t="s">
        <v>259</v>
      </c>
      <c r="AE187" s="35" t="s">
        <v>259</v>
      </c>
      <c r="AF187" s="35" t="s">
        <v>259</v>
      </c>
      <c r="AG187" s="35" t="s">
        <v>259</v>
      </c>
      <c r="AH187" s="35" t="s">
        <v>259</v>
      </c>
      <c r="AI187" s="35" t="s">
        <v>255</v>
      </c>
      <c r="AJ187" s="35" t="s">
        <v>259</v>
      </c>
      <c r="AK187" s="8" t="s">
        <v>261</v>
      </c>
      <c r="AL187" s="8" t="s">
        <v>261</v>
      </c>
      <c r="AM187" s="8" t="s">
        <v>278</v>
      </c>
      <c r="AN187" s="8" t="s">
        <v>713</v>
      </c>
      <c r="AO187" s="8" t="s">
        <v>280</v>
      </c>
      <c r="AP187" s="35" t="s">
        <v>265</v>
      </c>
      <c r="AQ187" s="39" t="n">
        <v>11.4</v>
      </c>
      <c r="AR187" s="39" t="n">
        <v>4.6</v>
      </c>
      <c r="AS187" s="33" t="n">
        <v>53</v>
      </c>
      <c r="AT187" s="45"/>
      <c r="AU187" s="45" t="n">
        <v>582.42</v>
      </c>
      <c r="AV187" s="45" t="n">
        <v>250</v>
      </c>
      <c r="AW187" s="39" t="n">
        <v>86</v>
      </c>
      <c r="AX187" s="39" t="n">
        <v>48.8</v>
      </c>
      <c r="AY187" s="39" t="n">
        <v>26.3</v>
      </c>
      <c r="AZ187" s="39" t="n">
        <v>26</v>
      </c>
      <c r="BA187" s="39" t="n">
        <v>0</v>
      </c>
      <c r="BB187" s="39" t="n">
        <v>84.8</v>
      </c>
      <c r="BC187" s="8" t="s">
        <v>734</v>
      </c>
      <c r="BD187" s="47" t="s">
        <v>346</v>
      </c>
      <c r="BE187" s="41" t="s">
        <v>735</v>
      </c>
    </row>
    <row r="188" customFormat="false" ht="15" hidden="false" customHeight="false" outlineLevel="0" collapsed="false">
      <c r="A188" s="33" t="n">
        <f aca="false">RANK(B188,$B$5:$B$266)</f>
        <v>182</v>
      </c>
      <c r="B188" s="34" t="n">
        <f aca="false">ROUND((AW188*'Scoring Weights'!$B$5+AX188*'Scoring Weights'!$B$6+AY188*'Scoring Weights'!$B$7+BA188*'Scoring Weights'!$B$8+AZ188*'Scoring Weights'!$B$9+BB188*'Scoring Weights'!$B$10)/MAX('Scoring Weights'!$B$11,1),1)</f>
        <v>45.7</v>
      </c>
      <c r="C188" s="35" t="str">
        <f aca="false">IF(AND(H188&lt;='Search Criteria'!$B$5,D188&gt;='Search Criteria'!$B$6,AQ188&lt;='Search Criteria'!$B$7,I188&lt;=INDEX('Search Criteria'!$B$18:$B$20,MATCH(E188,'Search Criteria'!$A$18:$A$20,0)),OR(NOT('Search Criteria'!$B$8),L188&lt;&gt;"FWD"),OR(NOT('Search Criteria'!$B$9),T188="Yes"),OR(NOT('Search Criteria'!$B$10),W188&gt;0),OR(NOT('Search Criteria'!$B$11),X188="Yes"),OR(NOT('Search Criteria'!$B$12),O188="GREAT",O188="GOOD"),OR(NOT('Search Criteria'!$B$13),K188="Yes")),"YES","no")</f>
        <v>no</v>
      </c>
      <c r="D188" s="33" t="n">
        <v>2025</v>
      </c>
      <c r="E188" s="8" t="s">
        <v>92</v>
      </c>
      <c r="F188" s="8" t="s">
        <v>236</v>
      </c>
      <c r="G188" s="8" t="s">
        <v>338</v>
      </c>
      <c r="H188" s="45" t="n">
        <v>31314</v>
      </c>
      <c r="I188" s="46" t="n">
        <v>40126</v>
      </c>
      <c r="J188" s="37" t="n">
        <f aca="false">IFERROR(ROUND(I188/MAX(2026-D188,0.5),0),"")</f>
        <v>40126</v>
      </c>
      <c r="K188" s="35" t="s">
        <v>259</v>
      </c>
      <c r="L188" s="35" t="s">
        <v>256</v>
      </c>
      <c r="M188" s="35" t="s">
        <v>257</v>
      </c>
      <c r="N188" s="33" t="n">
        <v>30</v>
      </c>
      <c r="O188" s="35" t="s">
        <v>297</v>
      </c>
      <c r="P188" s="45" t="n">
        <v>33968</v>
      </c>
      <c r="Q188" s="38" t="n">
        <v>0.078</v>
      </c>
      <c r="R188" s="35" t="s">
        <v>258</v>
      </c>
      <c r="S188" s="45" t="n">
        <v>220</v>
      </c>
      <c r="T188" s="35" t="s">
        <v>255</v>
      </c>
      <c r="U188" s="33" t="n">
        <v>1</v>
      </c>
      <c r="V188" s="35" t="s">
        <v>259</v>
      </c>
      <c r="W188" s="33" t="n">
        <v>1</v>
      </c>
      <c r="X188" s="35" t="s">
        <v>259</v>
      </c>
      <c r="Y188" s="35" t="s">
        <v>255</v>
      </c>
      <c r="Z188" s="35" t="s">
        <v>259</v>
      </c>
      <c r="AA188" s="35" t="s">
        <v>259</v>
      </c>
      <c r="AB188" s="35" t="s">
        <v>259</v>
      </c>
      <c r="AC188" s="35" t="s">
        <v>259</v>
      </c>
      <c r="AD188" s="35" t="s">
        <v>259</v>
      </c>
      <c r="AE188" s="35" t="s">
        <v>259</v>
      </c>
      <c r="AF188" s="35" t="s">
        <v>259</v>
      </c>
      <c r="AG188" s="35" t="s">
        <v>259</v>
      </c>
      <c r="AH188" s="35" t="s">
        <v>259</v>
      </c>
      <c r="AI188" s="35" t="s">
        <v>259</v>
      </c>
      <c r="AJ188" s="35" t="s">
        <v>259</v>
      </c>
      <c r="AK188" s="8" t="s">
        <v>269</v>
      </c>
      <c r="AL188" s="8" t="s">
        <v>261</v>
      </c>
      <c r="AM188" s="8" t="s">
        <v>278</v>
      </c>
      <c r="AN188" s="8" t="s">
        <v>315</v>
      </c>
      <c r="AO188" s="8" t="s">
        <v>294</v>
      </c>
      <c r="AP188" s="35" t="s">
        <v>272</v>
      </c>
      <c r="AQ188" s="39" t="n">
        <v>41.6</v>
      </c>
      <c r="AR188" s="39" t="n">
        <v>4.6</v>
      </c>
      <c r="AS188" s="33" t="n">
        <v>9</v>
      </c>
      <c r="AT188" s="45"/>
      <c r="AU188" s="45" t="n">
        <v>559.38</v>
      </c>
      <c r="AV188" s="45" t="n">
        <v>314</v>
      </c>
      <c r="AW188" s="39" t="n">
        <v>83.6</v>
      </c>
      <c r="AX188" s="39" t="n">
        <v>64.5</v>
      </c>
      <c r="AY188" s="39" t="n">
        <v>41.9</v>
      </c>
      <c r="AZ188" s="39" t="n">
        <v>0</v>
      </c>
      <c r="BA188" s="39" t="n">
        <v>0</v>
      </c>
      <c r="BB188" s="39" t="n">
        <v>44.5</v>
      </c>
      <c r="BC188" s="8" t="s">
        <v>736</v>
      </c>
      <c r="BD188" s="47" t="s">
        <v>290</v>
      </c>
      <c r="BE188" s="41" t="s">
        <v>737</v>
      </c>
    </row>
    <row r="189" customFormat="false" ht="15" hidden="false" customHeight="false" outlineLevel="0" collapsed="false">
      <c r="A189" s="33" t="n">
        <f aca="false">RANK(B189,$B$5:$B$266)</f>
        <v>182</v>
      </c>
      <c r="B189" s="34" t="n">
        <f aca="false">ROUND((AW189*'Scoring Weights'!$B$5+AX189*'Scoring Weights'!$B$6+AY189*'Scoring Weights'!$B$7+BA189*'Scoring Weights'!$B$8+AZ189*'Scoring Weights'!$B$9+BB189*'Scoring Weights'!$B$10)/MAX('Scoring Weights'!$B$11,1),1)</f>
        <v>45.7</v>
      </c>
      <c r="C189" s="35" t="str">
        <f aca="false">IF(AND(H189&lt;='Search Criteria'!$B$5,D189&gt;='Search Criteria'!$B$6,AQ189&lt;='Search Criteria'!$B$7,I189&lt;=INDEX('Search Criteria'!$B$18:$B$20,MATCH(E189,'Search Criteria'!$A$18:$A$20,0)),OR(NOT('Search Criteria'!$B$8),L189&lt;&gt;"FWD"),OR(NOT('Search Criteria'!$B$9),T189="Yes"),OR(NOT('Search Criteria'!$B$10),W189&gt;0),OR(NOT('Search Criteria'!$B$11),X189="Yes"),OR(NOT('Search Criteria'!$B$12),O189="GREAT",O189="GOOD"),OR(NOT('Search Criteria'!$B$13),K189="Yes")),"YES","no")</f>
        <v>no</v>
      </c>
      <c r="D189" s="33" t="n">
        <v>2023</v>
      </c>
      <c r="E189" s="8" t="s">
        <v>92</v>
      </c>
      <c r="F189" s="8" t="s">
        <v>236</v>
      </c>
      <c r="G189" s="8" t="s">
        <v>453</v>
      </c>
      <c r="H189" s="45" t="n">
        <v>31790</v>
      </c>
      <c r="I189" s="46" t="n">
        <v>105992</v>
      </c>
      <c r="J189" s="37" t="n">
        <f aca="false">IFERROR(ROUND(I189/MAX(2026-D189,0.5),0),"")</f>
        <v>35331</v>
      </c>
      <c r="K189" s="35" t="s">
        <v>259</v>
      </c>
      <c r="L189" s="35" t="s">
        <v>256</v>
      </c>
      <c r="M189" s="35" t="s">
        <v>302</v>
      </c>
      <c r="N189" s="33" t="n">
        <v>38</v>
      </c>
      <c r="O189" s="35" t="s">
        <v>258</v>
      </c>
      <c r="P189" s="45" t="n">
        <v>26321</v>
      </c>
      <c r="Q189" s="38" t="n">
        <v>-0.208</v>
      </c>
      <c r="R189" s="35" t="s">
        <v>277</v>
      </c>
      <c r="S189" s="45"/>
      <c r="T189" s="35" t="s">
        <v>259</v>
      </c>
      <c r="U189" s="33" t="n">
        <v>1</v>
      </c>
      <c r="V189" s="35" t="s">
        <v>259</v>
      </c>
      <c r="W189" s="33" t="n">
        <v>15</v>
      </c>
      <c r="X189" s="35" t="s">
        <v>255</v>
      </c>
      <c r="Y189" s="35" t="s">
        <v>255</v>
      </c>
      <c r="Z189" s="35" t="s">
        <v>259</v>
      </c>
      <c r="AA189" s="35" t="s">
        <v>255</v>
      </c>
      <c r="AB189" s="35" t="s">
        <v>255</v>
      </c>
      <c r="AC189" s="35" t="s">
        <v>255</v>
      </c>
      <c r="AD189" s="35" t="s">
        <v>255</v>
      </c>
      <c r="AE189" s="35" t="s">
        <v>259</v>
      </c>
      <c r="AF189" s="35" t="s">
        <v>255</v>
      </c>
      <c r="AG189" s="35" t="s">
        <v>255</v>
      </c>
      <c r="AH189" s="35" t="s">
        <v>259</v>
      </c>
      <c r="AI189" s="35" t="s">
        <v>255</v>
      </c>
      <c r="AJ189" s="35" t="s">
        <v>255</v>
      </c>
      <c r="AK189" s="8" t="s">
        <v>358</v>
      </c>
      <c r="AL189" s="8" t="s">
        <v>358</v>
      </c>
      <c r="AM189" s="8" t="s">
        <v>278</v>
      </c>
      <c r="AN189" s="8" t="s">
        <v>738</v>
      </c>
      <c r="AO189" s="8" t="s">
        <v>739</v>
      </c>
      <c r="AP189" s="35" t="s">
        <v>265</v>
      </c>
      <c r="AQ189" s="39" t="n">
        <v>41.8</v>
      </c>
      <c r="AR189" s="39" t="n">
        <v>4</v>
      </c>
      <c r="AS189" s="33" t="n">
        <v>13</v>
      </c>
      <c r="AT189" s="45"/>
      <c r="AU189" s="45" t="n">
        <v>567.88</v>
      </c>
      <c r="AV189" s="45" t="n">
        <v>251</v>
      </c>
      <c r="AW189" s="39" t="n">
        <v>80.8</v>
      </c>
      <c r="AX189" s="39" t="n">
        <v>55</v>
      </c>
      <c r="AY189" s="39" t="n">
        <v>0</v>
      </c>
      <c r="AZ189" s="39" t="n">
        <v>74</v>
      </c>
      <c r="BA189" s="39" t="n">
        <v>0</v>
      </c>
      <c r="BB189" s="39" t="n">
        <v>44.3</v>
      </c>
      <c r="BC189" s="8" t="s">
        <v>740</v>
      </c>
      <c r="BD189" s="47" t="s">
        <v>451</v>
      </c>
      <c r="BE189" s="41" t="s">
        <v>741</v>
      </c>
    </row>
    <row r="190" customFormat="false" ht="15" hidden="false" customHeight="false" outlineLevel="0" collapsed="false">
      <c r="A190" s="33" t="n">
        <f aca="false">RANK(B190,$B$5:$B$266)</f>
        <v>186</v>
      </c>
      <c r="B190" s="34" t="n">
        <f aca="false">ROUND((AW190*'Scoring Weights'!$B$5+AX190*'Scoring Weights'!$B$6+AY190*'Scoring Weights'!$B$7+BA190*'Scoring Weights'!$B$8+AZ190*'Scoring Weights'!$B$9+BB190*'Scoring Weights'!$B$10)/MAX('Scoring Weights'!$B$11,1),1)</f>
        <v>45.6</v>
      </c>
      <c r="C190" s="35" t="str">
        <f aca="false">IF(AND(H190&lt;='Search Criteria'!$B$5,D190&gt;='Search Criteria'!$B$6,AQ190&lt;='Search Criteria'!$B$7,I190&lt;=INDEX('Search Criteria'!$B$18:$B$20,MATCH(E190,'Search Criteria'!$A$18:$A$20,0)),OR(NOT('Search Criteria'!$B$8),L190&lt;&gt;"FWD"),OR(NOT('Search Criteria'!$B$9),T190="Yes"),OR(NOT('Search Criteria'!$B$10),W190&gt;0),OR(NOT('Search Criteria'!$B$11),X190="Yes"),OR(NOT('Search Criteria'!$B$12),O190="GREAT",O190="GOOD"),OR(NOT('Search Criteria'!$B$13),K190="Yes")),"YES","no")</f>
        <v>no</v>
      </c>
      <c r="D190" s="33" t="n">
        <v>2022</v>
      </c>
      <c r="E190" s="8" t="s">
        <v>92</v>
      </c>
      <c r="F190" s="8" t="s">
        <v>236</v>
      </c>
      <c r="G190" s="8" t="s">
        <v>338</v>
      </c>
      <c r="H190" s="45" t="n">
        <v>23360</v>
      </c>
      <c r="I190" s="46" t="n">
        <v>81748</v>
      </c>
      <c r="J190" s="37" t="n">
        <f aca="false">IFERROR(ROUND(I190/MAX(2026-D190,0.5),0),"")</f>
        <v>20437</v>
      </c>
      <c r="K190" s="35" t="s">
        <v>259</v>
      </c>
      <c r="L190" s="35" t="s">
        <v>285</v>
      </c>
      <c r="M190" s="35" t="s">
        <v>257</v>
      </c>
      <c r="N190" s="33" t="n">
        <v>30</v>
      </c>
      <c r="O190" s="35" t="s">
        <v>286</v>
      </c>
      <c r="P190" s="45" t="n">
        <v>27062</v>
      </c>
      <c r="Q190" s="38" t="n">
        <v>0.137</v>
      </c>
      <c r="R190" s="35" t="s">
        <v>258</v>
      </c>
      <c r="S190" s="45" t="n">
        <v>430</v>
      </c>
      <c r="T190" s="35" t="s">
        <v>259</v>
      </c>
      <c r="U190" s="33" t="n">
        <v>1</v>
      </c>
      <c r="V190" s="35" t="s">
        <v>259</v>
      </c>
      <c r="W190" s="33" t="n">
        <v>14</v>
      </c>
      <c r="X190" s="35" t="s">
        <v>259</v>
      </c>
      <c r="Y190" s="35" t="s">
        <v>255</v>
      </c>
      <c r="Z190" s="35" t="s">
        <v>259</v>
      </c>
      <c r="AA190" s="35" t="s">
        <v>259</v>
      </c>
      <c r="AB190" s="35" t="s">
        <v>255</v>
      </c>
      <c r="AC190" s="35" t="s">
        <v>259</v>
      </c>
      <c r="AD190" s="35" t="s">
        <v>259</v>
      </c>
      <c r="AE190" s="35" t="s">
        <v>259</v>
      </c>
      <c r="AF190" s="35" t="s">
        <v>259</v>
      </c>
      <c r="AG190" s="35" t="s">
        <v>259</v>
      </c>
      <c r="AH190" s="35" t="s">
        <v>259</v>
      </c>
      <c r="AI190" s="35" t="s">
        <v>259</v>
      </c>
      <c r="AJ190" s="35" t="s">
        <v>259</v>
      </c>
      <c r="AK190" s="8" t="s">
        <v>292</v>
      </c>
      <c r="AL190" s="8" t="s">
        <v>261</v>
      </c>
      <c r="AM190" s="8" t="s">
        <v>278</v>
      </c>
      <c r="AN190" s="8" t="s">
        <v>415</v>
      </c>
      <c r="AO190" s="8" t="s">
        <v>416</v>
      </c>
      <c r="AP190" s="35" t="s">
        <v>272</v>
      </c>
      <c r="AQ190" s="39" t="n">
        <v>33.3</v>
      </c>
      <c r="AR190" s="39" t="n">
        <v>4.1</v>
      </c>
      <c r="AS190" s="33" t="n">
        <v>51</v>
      </c>
      <c r="AT190" s="45"/>
      <c r="AU190" s="45" t="n">
        <v>417.29</v>
      </c>
      <c r="AV190" s="45" t="n">
        <v>230</v>
      </c>
      <c r="AW190" s="39" t="n">
        <v>76.6</v>
      </c>
      <c r="AX190" s="39" t="n">
        <v>85.9</v>
      </c>
      <c r="AY190" s="39" t="n">
        <v>12.8</v>
      </c>
      <c r="AZ190" s="39" t="n">
        <v>12</v>
      </c>
      <c r="BA190" s="39" t="n">
        <v>0</v>
      </c>
      <c r="BB190" s="39" t="n">
        <v>55.7</v>
      </c>
      <c r="BC190" s="8" t="s">
        <v>742</v>
      </c>
      <c r="BD190" s="47" t="s">
        <v>365</v>
      </c>
      <c r="BE190" s="41" t="s">
        <v>743</v>
      </c>
    </row>
    <row r="191" customFormat="false" ht="15" hidden="false" customHeight="false" outlineLevel="0" collapsed="false">
      <c r="A191" s="33" t="n">
        <f aca="false">RANK(B191,$B$5:$B$266)</f>
        <v>187</v>
      </c>
      <c r="B191" s="34" t="n">
        <f aca="false">ROUND((AW191*'Scoring Weights'!$B$5+AX191*'Scoring Weights'!$B$6+AY191*'Scoring Weights'!$B$7+BA191*'Scoring Weights'!$B$8+AZ191*'Scoring Weights'!$B$9+BB191*'Scoring Weights'!$B$10)/MAX('Scoring Weights'!$B$11,1),1)</f>
        <v>45.5</v>
      </c>
      <c r="C191" s="35" t="str">
        <f aca="false">IF(AND(H191&lt;='Search Criteria'!$B$5,D191&gt;='Search Criteria'!$B$6,AQ191&lt;='Search Criteria'!$B$7,I191&lt;=INDEX('Search Criteria'!$B$18:$B$20,MATCH(E191,'Search Criteria'!$A$18:$A$20,0)),OR(NOT('Search Criteria'!$B$8),L191&lt;&gt;"FWD"),OR(NOT('Search Criteria'!$B$9),T191="Yes"),OR(NOT('Search Criteria'!$B$10),W191&gt;0),OR(NOT('Search Criteria'!$B$11),X191="Yes"),OR(NOT('Search Criteria'!$B$12),O191="GREAT",O191="GOOD"),OR(NOT('Search Criteria'!$B$13),K191="Yes")),"YES","no")</f>
        <v>no</v>
      </c>
      <c r="D191" s="33" t="n">
        <v>2022</v>
      </c>
      <c r="E191" s="8" t="s">
        <v>95</v>
      </c>
      <c r="F191" s="8" t="s">
        <v>234</v>
      </c>
      <c r="G191" s="8" t="s">
        <v>358</v>
      </c>
      <c r="H191" s="45" t="n">
        <v>20309</v>
      </c>
      <c r="I191" s="46" t="n">
        <v>51654</v>
      </c>
      <c r="J191" s="37" t="n">
        <f aca="false">IFERROR(ROUND(I191/MAX(2026-D191,0.5),0),"")</f>
        <v>12914</v>
      </c>
      <c r="K191" s="35" t="s">
        <v>259</v>
      </c>
      <c r="L191" s="35" t="s">
        <v>256</v>
      </c>
      <c r="M191" s="35" t="s">
        <v>257</v>
      </c>
      <c r="N191" s="33" t="n">
        <v>29</v>
      </c>
      <c r="O191" s="35" t="s">
        <v>286</v>
      </c>
      <c r="P191" s="45" t="n">
        <v>23928</v>
      </c>
      <c r="Q191" s="38" t="n">
        <v>0.151</v>
      </c>
      <c r="R191" s="35" t="s">
        <v>258</v>
      </c>
      <c r="S191" s="45" t="n">
        <v>200</v>
      </c>
      <c r="T191" s="35" t="s">
        <v>259</v>
      </c>
      <c r="U191" s="33" t="n">
        <v>1</v>
      </c>
      <c r="V191" s="35" t="s">
        <v>259</v>
      </c>
      <c r="W191" s="33" t="n">
        <v>9</v>
      </c>
      <c r="X191" s="35" t="s">
        <v>259</v>
      </c>
      <c r="Y191" s="35" t="s">
        <v>255</v>
      </c>
      <c r="Z191" s="35" t="s">
        <v>259</v>
      </c>
      <c r="AA191" s="35" t="s">
        <v>259</v>
      </c>
      <c r="AB191" s="35" t="s">
        <v>259</v>
      </c>
      <c r="AC191" s="35" t="s">
        <v>259</v>
      </c>
      <c r="AD191" s="35" t="s">
        <v>255</v>
      </c>
      <c r="AE191" s="35" t="s">
        <v>259</v>
      </c>
      <c r="AF191" s="35" t="s">
        <v>259</v>
      </c>
      <c r="AG191" s="35" t="s">
        <v>259</v>
      </c>
      <c r="AH191" s="35" t="s">
        <v>259</v>
      </c>
      <c r="AI191" s="35" t="s">
        <v>259</v>
      </c>
      <c r="AJ191" s="35" t="s">
        <v>259</v>
      </c>
      <c r="AK191" s="8" t="s">
        <v>309</v>
      </c>
      <c r="AL191" s="8" t="s">
        <v>261</v>
      </c>
      <c r="AM191" s="8" t="s">
        <v>278</v>
      </c>
      <c r="AN191" s="8" t="s">
        <v>505</v>
      </c>
      <c r="AO191" s="8" t="s">
        <v>506</v>
      </c>
      <c r="AP191" s="35" t="s">
        <v>272</v>
      </c>
      <c r="AQ191" s="39" t="n">
        <v>52.7</v>
      </c>
      <c r="AR191" s="39" t="n">
        <v>4.8</v>
      </c>
      <c r="AS191" s="33" t="n">
        <v>2</v>
      </c>
      <c r="AT191" s="45"/>
      <c r="AU191" s="45" t="n">
        <v>362.79</v>
      </c>
      <c r="AV191" s="45" t="n">
        <v>314</v>
      </c>
      <c r="AW191" s="39" t="n">
        <v>79.6</v>
      </c>
      <c r="AX191" s="39" t="n">
        <v>87.9</v>
      </c>
      <c r="AY191" s="39" t="n">
        <v>12.7</v>
      </c>
      <c r="AZ191" s="39" t="n">
        <v>12</v>
      </c>
      <c r="BA191" s="39" t="n">
        <v>0</v>
      </c>
      <c r="BB191" s="39" t="n">
        <v>29.7</v>
      </c>
      <c r="BC191" s="8" t="s">
        <v>744</v>
      </c>
      <c r="BD191" s="47" t="s">
        <v>718</v>
      </c>
      <c r="BE191" s="41" t="s">
        <v>745</v>
      </c>
    </row>
    <row r="192" customFormat="false" ht="15" hidden="false" customHeight="false" outlineLevel="0" collapsed="false">
      <c r="A192" s="33" t="n">
        <f aca="false">RANK(B192,$B$5:$B$266)</f>
        <v>187</v>
      </c>
      <c r="B192" s="34" t="n">
        <f aca="false">ROUND((AW192*'Scoring Weights'!$B$5+AX192*'Scoring Weights'!$B$6+AY192*'Scoring Weights'!$B$7+BA192*'Scoring Weights'!$B$8+AZ192*'Scoring Weights'!$B$9+BB192*'Scoring Weights'!$B$10)/MAX('Scoring Weights'!$B$11,1),1)</f>
        <v>45.5</v>
      </c>
      <c r="C192" s="35" t="str">
        <f aca="false">IF(AND(H192&lt;='Search Criteria'!$B$5,D192&gt;='Search Criteria'!$B$6,AQ192&lt;='Search Criteria'!$B$7,I192&lt;=INDEX('Search Criteria'!$B$18:$B$20,MATCH(E192,'Search Criteria'!$A$18:$A$20,0)),OR(NOT('Search Criteria'!$B$8),L192&lt;&gt;"FWD"),OR(NOT('Search Criteria'!$B$9),T192="Yes"),OR(NOT('Search Criteria'!$B$10),W192&gt;0),OR(NOT('Search Criteria'!$B$11),X192="Yes"),OR(NOT('Search Criteria'!$B$12),O192="GREAT",O192="GOOD"),OR(NOT('Search Criteria'!$B$13),K192="Yes")),"YES","no")</f>
        <v>no</v>
      </c>
      <c r="D192" s="33" t="n">
        <v>2022</v>
      </c>
      <c r="E192" s="8" t="s">
        <v>92</v>
      </c>
      <c r="F192" s="8" t="s">
        <v>236</v>
      </c>
      <c r="G192" s="8" t="s">
        <v>338</v>
      </c>
      <c r="H192" s="45" t="n">
        <v>25999</v>
      </c>
      <c r="I192" s="46" t="n">
        <v>64797</v>
      </c>
      <c r="J192" s="37" t="n">
        <f aca="false">IFERROR(ROUND(I192/MAX(2026-D192,0.5),0),"")</f>
        <v>16199</v>
      </c>
      <c r="K192" s="35" t="s">
        <v>259</v>
      </c>
      <c r="L192" s="35" t="s">
        <v>256</v>
      </c>
      <c r="M192" s="35" t="s">
        <v>257</v>
      </c>
      <c r="N192" s="33" t="n">
        <v>30</v>
      </c>
      <c r="O192" s="35" t="s">
        <v>276</v>
      </c>
      <c r="P192" s="45" t="n">
        <v>28416</v>
      </c>
      <c r="Q192" s="38" t="n">
        <v>0.085</v>
      </c>
      <c r="R192" s="35" t="s">
        <v>258</v>
      </c>
      <c r="S192" s="45" t="n">
        <v>300</v>
      </c>
      <c r="T192" s="35" t="s">
        <v>255</v>
      </c>
      <c r="U192" s="33" t="n">
        <v>2</v>
      </c>
      <c r="V192" s="35" t="s">
        <v>259</v>
      </c>
      <c r="W192" s="33" t="n">
        <v>12</v>
      </c>
      <c r="X192" s="35" t="s">
        <v>259</v>
      </c>
      <c r="Y192" s="35" t="s">
        <v>255</v>
      </c>
      <c r="Z192" s="35" t="s">
        <v>259</v>
      </c>
      <c r="AA192" s="35" t="s">
        <v>259</v>
      </c>
      <c r="AB192" s="35" t="s">
        <v>255</v>
      </c>
      <c r="AC192" s="35" t="s">
        <v>259</v>
      </c>
      <c r="AD192" s="35" t="s">
        <v>259</v>
      </c>
      <c r="AE192" s="35" t="s">
        <v>259</v>
      </c>
      <c r="AF192" s="35" t="s">
        <v>259</v>
      </c>
      <c r="AG192" s="35" t="s">
        <v>259</v>
      </c>
      <c r="AH192" s="35" t="s">
        <v>259</v>
      </c>
      <c r="AI192" s="35" t="s">
        <v>259</v>
      </c>
      <c r="AJ192" s="35" t="s">
        <v>259</v>
      </c>
      <c r="AK192" s="8" t="s">
        <v>292</v>
      </c>
      <c r="AL192" s="8" t="s">
        <v>261</v>
      </c>
      <c r="AM192" s="8" t="s">
        <v>278</v>
      </c>
      <c r="AN192" s="8" t="s">
        <v>304</v>
      </c>
      <c r="AO192" s="8" t="s">
        <v>305</v>
      </c>
      <c r="AP192" s="35" t="s">
        <v>265</v>
      </c>
      <c r="AQ192" s="39" t="n">
        <v>59.4</v>
      </c>
      <c r="AR192" s="39" t="n">
        <v>4.4</v>
      </c>
      <c r="AS192" s="33" t="n">
        <v>13</v>
      </c>
      <c r="AT192" s="45"/>
      <c r="AU192" s="45" t="n">
        <v>464.43</v>
      </c>
      <c r="AV192" s="45"/>
      <c r="AW192" s="39" t="n">
        <v>85.6</v>
      </c>
      <c r="AX192" s="39" t="n">
        <v>69.4</v>
      </c>
      <c r="AY192" s="39" t="n">
        <v>29.1</v>
      </c>
      <c r="AZ192" s="39" t="n">
        <v>12</v>
      </c>
      <c r="BA192" s="39" t="n">
        <v>0</v>
      </c>
      <c r="BB192" s="39" t="n">
        <v>20.8</v>
      </c>
      <c r="BC192" s="8" t="s">
        <v>746</v>
      </c>
      <c r="BD192" s="47" t="s">
        <v>365</v>
      </c>
      <c r="BE192" s="41" t="s">
        <v>747</v>
      </c>
    </row>
    <row r="193" customFormat="false" ht="15" hidden="false" customHeight="false" outlineLevel="0" collapsed="false">
      <c r="A193" s="33" t="n">
        <f aca="false">RANK(B193,$B$5:$B$266)</f>
        <v>189</v>
      </c>
      <c r="B193" s="34" t="n">
        <f aca="false">ROUND((AW193*'Scoring Weights'!$B$5+AX193*'Scoring Weights'!$B$6+AY193*'Scoring Weights'!$B$7+BA193*'Scoring Weights'!$B$8+AZ193*'Scoring Weights'!$B$9+BB193*'Scoring Weights'!$B$10)/MAX('Scoring Weights'!$B$11,1),1)</f>
        <v>45.4</v>
      </c>
      <c r="C193" s="35" t="str">
        <f aca="false">IF(AND(H193&lt;='Search Criteria'!$B$5,D193&gt;='Search Criteria'!$B$6,AQ193&lt;='Search Criteria'!$B$7,I193&lt;=INDEX('Search Criteria'!$B$18:$B$20,MATCH(E193,'Search Criteria'!$A$18:$A$20,0)),OR(NOT('Search Criteria'!$B$8),L193&lt;&gt;"FWD"),OR(NOT('Search Criteria'!$B$9),T193="Yes"),OR(NOT('Search Criteria'!$B$10),W193&gt;0),OR(NOT('Search Criteria'!$B$11),X193="Yes"),OR(NOT('Search Criteria'!$B$12),O193="GREAT",O193="GOOD"),OR(NOT('Search Criteria'!$B$13),K193="Yes")),"YES","no")</f>
        <v>no</v>
      </c>
      <c r="D193" s="33" t="n">
        <v>2025</v>
      </c>
      <c r="E193" s="8" t="s">
        <v>92</v>
      </c>
      <c r="F193" s="8" t="s">
        <v>236</v>
      </c>
      <c r="G193" s="8" t="s">
        <v>338</v>
      </c>
      <c r="H193" s="45" t="n">
        <v>29710</v>
      </c>
      <c r="I193" s="46" t="n">
        <v>46156</v>
      </c>
      <c r="J193" s="37" t="n">
        <f aca="false">IFERROR(ROUND(I193/MAX(2026-D193,0.5),0),"")</f>
        <v>46156</v>
      </c>
      <c r="K193" s="35" t="s">
        <v>259</v>
      </c>
      <c r="L193" s="35" t="s">
        <v>285</v>
      </c>
      <c r="M193" s="35" t="s">
        <v>257</v>
      </c>
      <c r="N193" s="33" t="n">
        <v>30</v>
      </c>
      <c r="O193" s="35" t="s">
        <v>276</v>
      </c>
      <c r="P193" s="45" t="n">
        <v>33487</v>
      </c>
      <c r="Q193" s="38" t="n">
        <v>0.113</v>
      </c>
      <c r="R193" s="35" t="s">
        <v>258</v>
      </c>
      <c r="S193" s="45" t="n">
        <v>150</v>
      </c>
      <c r="T193" s="35" t="s">
        <v>255</v>
      </c>
      <c r="U193" s="33" t="n">
        <v>1</v>
      </c>
      <c r="V193" s="35" t="s">
        <v>259</v>
      </c>
      <c r="W193" s="33" t="n">
        <v>0</v>
      </c>
      <c r="X193" s="35" t="s">
        <v>259</v>
      </c>
      <c r="Y193" s="35" t="s">
        <v>255</v>
      </c>
      <c r="Z193" s="35" t="s">
        <v>259</v>
      </c>
      <c r="AA193" s="35" t="s">
        <v>259</v>
      </c>
      <c r="AB193" s="35" t="s">
        <v>259</v>
      </c>
      <c r="AC193" s="35" t="s">
        <v>259</v>
      </c>
      <c r="AD193" s="35" t="s">
        <v>259</v>
      </c>
      <c r="AE193" s="35" t="s">
        <v>259</v>
      </c>
      <c r="AF193" s="35" t="s">
        <v>259</v>
      </c>
      <c r="AG193" s="35" t="s">
        <v>259</v>
      </c>
      <c r="AH193" s="35" t="s">
        <v>259</v>
      </c>
      <c r="AI193" s="35" t="s">
        <v>259</v>
      </c>
      <c r="AJ193" s="35" t="s">
        <v>259</v>
      </c>
      <c r="AK193" s="8" t="s">
        <v>358</v>
      </c>
      <c r="AL193" s="8" t="s">
        <v>261</v>
      </c>
      <c r="AM193" s="8" t="s">
        <v>278</v>
      </c>
      <c r="AN193" s="8" t="s">
        <v>304</v>
      </c>
      <c r="AO193" s="8" t="s">
        <v>305</v>
      </c>
      <c r="AP193" s="35" t="s">
        <v>265</v>
      </c>
      <c r="AQ193" s="39" t="n">
        <v>59.4</v>
      </c>
      <c r="AR193" s="39" t="n">
        <v>4.4</v>
      </c>
      <c r="AS193" s="33" t="n">
        <v>5</v>
      </c>
      <c r="AT193" s="45"/>
      <c r="AU193" s="45" t="n">
        <v>530.73</v>
      </c>
      <c r="AV193" s="45"/>
      <c r="AW193" s="39" t="n">
        <v>82.4</v>
      </c>
      <c r="AX193" s="39" t="n">
        <v>73.5</v>
      </c>
      <c r="AY193" s="39" t="n">
        <v>37.7</v>
      </c>
      <c r="AZ193" s="39" t="n">
        <v>0</v>
      </c>
      <c r="BA193" s="39" t="n">
        <v>0</v>
      </c>
      <c r="BB193" s="39" t="n">
        <v>20.8</v>
      </c>
      <c r="BC193" s="8" t="s">
        <v>748</v>
      </c>
      <c r="BD193" s="47" t="s">
        <v>290</v>
      </c>
      <c r="BE193" s="41" t="s">
        <v>749</v>
      </c>
    </row>
    <row r="194" customFormat="false" ht="15" hidden="false" customHeight="false" outlineLevel="0" collapsed="false">
      <c r="A194" s="33" t="n">
        <f aca="false">RANK(B194,$B$5:$B$266)</f>
        <v>189</v>
      </c>
      <c r="B194" s="34" t="n">
        <f aca="false">ROUND((AW194*'Scoring Weights'!$B$5+AX194*'Scoring Weights'!$B$6+AY194*'Scoring Weights'!$B$7+BA194*'Scoring Weights'!$B$8+AZ194*'Scoring Weights'!$B$9+BB194*'Scoring Weights'!$B$10)/MAX('Scoring Weights'!$B$11,1),1)</f>
        <v>45.4</v>
      </c>
      <c r="C194" s="35" t="str">
        <f aca="false">IF(AND(H194&lt;='Search Criteria'!$B$5,D194&gt;='Search Criteria'!$B$6,AQ194&lt;='Search Criteria'!$B$7,I194&lt;=INDEX('Search Criteria'!$B$18:$B$20,MATCH(E194,'Search Criteria'!$A$18:$A$20,0)),OR(NOT('Search Criteria'!$B$8),L194&lt;&gt;"FWD"),OR(NOT('Search Criteria'!$B$9),T194="Yes"),OR(NOT('Search Criteria'!$B$10),W194&gt;0),OR(NOT('Search Criteria'!$B$11),X194="Yes"),OR(NOT('Search Criteria'!$B$12),O194="GREAT",O194="GOOD"),OR(NOT('Search Criteria'!$B$13),K194="Yes")),"YES","no")</f>
        <v>no</v>
      </c>
      <c r="D194" s="33" t="n">
        <v>2024</v>
      </c>
      <c r="E194" s="8" t="s">
        <v>95</v>
      </c>
      <c r="F194" s="8" t="s">
        <v>234</v>
      </c>
      <c r="G194" s="8" t="s">
        <v>407</v>
      </c>
      <c r="H194" s="45" t="n">
        <v>28314</v>
      </c>
      <c r="I194" s="46" t="n">
        <v>35020</v>
      </c>
      <c r="J194" s="37" t="n">
        <f aca="false">IFERROR(ROUND(I194/MAX(2026-D194,0.5),0),"")</f>
        <v>17510</v>
      </c>
      <c r="K194" s="35" t="s">
        <v>259</v>
      </c>
      <c r="L194" s="35" t="s">
        <v>256</v>
      </c>
      <c r="M194" s="35" t="s">
        <v>257</v>
      </c>
      <c r="N194" s="33" t="n">
        <v>28</v>
      </c>
      <c r="O194" s="35" t="s">
        <v>276</v>
      </c>
      <c r="P194" s="45" t="n">
        <v>29024</v>
      </c>
      <c r="Q194" s="38" t="n">
        <v>0.024</v>
      </c>
      <c r="R194" s="35" t="s">
        <v>277</v>
      </c>
      <c r="S194" s="45"/>
      <c r="T194" s="35" t="s">
        <v>259</v>
      </c>
      <c r="U194" s="33" t="n">
        <v>1</v>
      </c>
      <c r="V194" s="35" t="s">
        <v>255</v>
      </c>
      <c r="W194" s="33" t="n">
        <v>5</v>
      </c>
      <c r="X194" s="35" t="s">
        <v>255</v>
      </c>
      <c r="Y194" s="35" t="s">
        <v>255</v>
      </c>
      <c r="Z194" s="35" t="s">
        <v>259</v>
      </c>
      <c r="AA194" s="35" t="s">
        <v>255</v>
      </c>
      <c r="AB194" s="35" t="s">
        <v>255</v>
      </c>
      <c r="AC194" s="35" t="s">
        <v>255</v>
      </c>
      <c r="AD194" s="35" t="s">
        <v>255</v>
      </c>
      <c r="AE194" s="35" t="s">
        <v>259</v>
      </c>
      <c r="AF194" s="35" t="s">
        <v>255</v>
      </c>
      <c r="AG194" s="35" t="s">
        <v>259</v>
      </c>
      <c r="AH194" s="35" t="s">
        <v>259</v>
      </c>
      <c r="AI194" s="35" t="s">
        <v>255</v>
      </c>
      <c r="AJ194" s="35" t="s">
        <v>259</v>
      </c>
      <c r="AK194" s="8" t="s">
        <v>730</v>
      </c>
      <c r="AL194" s="8" t="s">
        <v>261</v>
      </c>
      <c r="AM194" s="8" t="s">
        <v>278</v>
      </c>
      <c r="AN194" s="8" t="s">
        <v>315</v>
      </c>
      <c r="AO194" s="8" t="s">
        <v>294</v>
      </c>
      <c r="AP194" s="35" t="s">
        <v>272</v>
      </c>
      <c r="AQ194" s="39" t="n">
        <v>41.6</v>
      </c>
      <c r="AR194" s="39" t="n">
        <v>4.6</v>
      </c>
      <c r="AS194" s="33" t="n">
        <v>4</v>
      </c>
      <c r="AT194" s="45"/>
      <c r="AU194" s="45" t="n">
        <v>505.79</v>
      </c>
      <c r="AV194" s="45" t="n">
        <v>314</v>
      </c>
      <c r="AW194" s="39" t="n">
        <v>66.1</v>
      </c>
      <c r="AX194" s="39" t="n">
        <v>60.3</v>
      </c>
      <c r="AY194" s="39" t="n">
        <v>22.2</v>
      </c>
      <c r="AZ194" s="39" t="n">
        <v>62</v>
      </c>
      <c r="BA194" s="39" t="n">
        <v>0</v>
      </c>
      <c r="BB194" s="39" t="n">
        <v>44.5</v>
      </c>
      <c r="BC194" s="8" t="s">
        <v>750</v>
      </c>
      <c r="BD194" s="47" t="s">
        <v>423</v>
      </c>
      <c r="BE194" s="41" t="s">
        <v>751</v>
      </c>
    </row>
    <row r="195" customFormat="false" ht="15" hidden="false" customHeight="false" outlineLevel="0" collapsed="false">
      <c r="A195" s="33" t="n">
        <f aca="false">RANK(B195,$B$5:$B$266)</f>
        <v>191</v>
      </c>
      <c r="B195" s="34" t="n">
        <f aca="false">ROUND((AW195*'Scoring Weights'!$B$5+AX195*'Scoring Weights'!$B$6+AY195*'Scoring Weights'!$B$7+BA195*'Scoring Weights'!$B$8+AZ195*'Scoring Weights'!$B$9+BB195*'Scoring Weights'!$B$10)/MAX('Scoring Weights'!$B$11,1),1)</f>
        <v>45.3</v>
      </c>
      <c r="C195" s="35" t="str">
        <f aca="false">IF(AND(H195&lt;='Search Criteria'!$B$5,D195&gt;='Search Criteria'!$B$6,AQ195&lt;='Search Criteria'!$B$7,I195&lt;=INDEX('Search Criteria'!$B$18:$B$20,MATCH(E195,'Search Criteria'!$A$18:$A$20,0)),OR(NOT('Search Criteria'!$B$8),L195&lt;&gt;"FWD"),OR(NOT('Search Criteria'!$B$9),T195="Yes"),OR(NOT('Search Criteria'!$B$10),W195&gt;0),OR(NOT('Search Criteria'!$B$11),X195="Yes"),OR(NOT('Search Criteria'!$B$12),O195="GREAT",O195="GOOD"),OR(NOT('Search Criteria'!$B$13),K195="Yes")),"YES","no")</f>
        <v>no</v>
      </c>
      <c r="D195" s="33" t="n">
        <v>2024</v>
      </c>
      <c r="E195" s="8" t="s">
        <v>94</v>
      </c>
      <c r="F195" s="8" t="s">
        <v>233</v>
      </c>
      <c r="G195" s="8" t="s">
        <v>301</v>
      </c>
      <c r="H195" s="45" t="n">
        <v>27309</v>
      </c>
      <c r="I195" s="46" t="n">
        <v>41206</v>
      </c>
      <c r="J195" s="37" t="n">
        <f aca="false">IFERROR(ROUND(I195/MAX(2026-D195,0.5),0),"")</f>
        <v>20603</v>
      </c>
      <c r="K195" s="35" t="s">
        <v>259</v>
      </c>
      <c r="L195" s="35" t="s">
        <v>256</v>
      </c>
      <c r="M195" s="35" t="s">
        <v>257</v>
      </c>
      <c r="N195" s="33" t="n">
        <v>27</v>
      </c>
      <c r="O195" s="35" t="s">
        <v>276</v>
      </c>
      <c r="P195" s="45" t="n">
        <v>25790</v>
      </c>
      <c r="Q195" s="38" t="n">
        <v>-0.059</v>
      </c>
      <c r="R195" s="35" t="s">
        <v>258</v>
      </c>
      <c r="S195" s="45" t="n">
        <v>240</v>
      </c>
      <c r="T195" s="35" t="s">
        <v>255</v>
      </c>
      <c r="U195" s="33" t="n">
        <v>1</v>
      </c>
      <c r="V195" s="35" t="s">
        <v>255</v>
      </c>
      <c r="W195" s="33" t="n">
        <v>15</v>
      </c>
      <c r="X195" s="35" t="s">
        <v>255</v>
      </c>
      <c r="Y195" s="35" t="s">
        <v>255</v>
      </c>
      <c r="Z195" s="35" t="s">
        <v>259</v>
      </c>
      <c r="AA195" s="35" t="s">
        <v>259</v>
      </c>
      <c r="AB195" s="35" t="s">
        <v>255</v>
      </c>
      <c r="AC195" s="35" t="s">
        <v>259</v>
      </c>
      <c r="AD195" s="35" t="s">
        <v>255</v>
      </c>
      <c r="AE195" s="35" t="s">
        <v>259</v>
      </c>
      <c r="AF195" s="35" t="s">
        <v>259</v>
      </c>
      <c r="AG195" s="35" t="s">
        <v>259</v>
      </c>
      <c r="AH195" s="35" t="s">
        <v>259</v>
      </c>
      <c r="AI195" s="35" t="s">
        <v>259</v>
      </c>
      <c r="AJ195" s="35" t="s">
        <v>259</v>
      </c>
      <c r="AK195" s="8" t="s">
        <v>367</v>
      </c>
      <c r="AL195" s="8" t="s">
        <v>261</v>
      </c>
      <c r="AM195" s="8" t="s">
        <v>303</v>
      </c>
      <c r="AN195" s="8" t="s">
        <v>270</v>
      </c>
      <c r="AO195" s="8" t="s">
        <v>271</v>
      </c>
      <c r="AP195" s="35" t="s">
        <v>272</v>
      </c>
      <c r="AQ195" s="39" t="n">
        <v>71</v>
      </c>
      <c r="AR195" s="39" t="n">
        <v>4.7</v>
      </c>
      <c r="AS195" s="33" t="n">
        <v>11</v>
      </c>
      <c r="AT195" s="45"/>
      <c r="AU195" s="45" t="n">
        <v>487.84</v>
      </c>
      <c r="AV195" s="45" t="n">
        <v>314</v>
      </c>
      <c r="AW195" s="39" t="n">
        <v>100</v>
      </c>
      <c r="AX195" s="39" t="n">
        <v>47.8</v>
      </c>
      <c r="AY195" s="39" t="n">
        <v>28.8</v>
      </c>
      <c r="AZ195" s="39" t="n">
        <v>24</v>
      </c>
      <c r="BA195" s="39" t="n">
        <v>0</v>
      </c>
      <c r="BB195" s="39" t="n">
        <v>5.4</v>
      </c>
      <c r="BC195" s="8" t="s">
        <v>752</v>
      </c>
      <c r="BD195" s="47" t="s">
        <v>323</v>
      </c>
      <c r="BE195" s="41" t="s">
        <v>753</v>
      </c>
    </row>
    <row r="196" customFormat="false" ht="15" hidden="false" customHeight="false" outlineLevel="0" collapsed="false">
      <c r="A196" s="33" t="n">
        <f aca="false">RANK(B196,$B$5:$B$266)</f>
        <v>192</v>
      </c>
      <c r="B196" s="34" t="n">
        <f aca="false">ROUND((AW196*'Scoring Weights'!$B$5+AX196*'Scoring Weights'!$B$6+AY196*'Scoring Weights'!$B$7+BA196*'Scoring Weights'!$B$8+AZ196*'Scoring Weights'!$B$9+BB196*'Scoring Weights'!$B$10)/MAX('Scoring Weights'!$B$11,1),1)</f>
        <v>45.2</v>
      </c>
      <c r="C196" s="35" t="str">
        <f aca="false">IF(AND(H196&lt;='Search Criteria'!$B$5,D196&gt;='Search Criteria'!$B$6,AQ196&lt;='Search Criteria'!$B$7,I196&lt;=INDEX('Search Criteria'!$B$18:$B$20,MATCH(E196,'Search Criteria'!$A$18:$A$20,0)),OR(NOT('Search Criteria'!$B$8),L196&lt;&gt;"FWD"),OR(NOT('Search Criteria'!$B$9),T196="Yes"),OR(NOT('Search Criteria'!$B$10),W196&gt;0),OR(NOT('Search Criteria'!$B$11),X196="Yes"),OR(NOT('Search Criteria'!$B$12),O196="GREAT",O196="GOOD"),OR(NOT('Search Criteria'!$B$13),K196="Yes")),"YES","no")</f>
        <v>no</v>
      </c>
      <c r="D196" s="33" t="n">
        <v>2025</v>
      </c>
      <c r="E196" s="8" t="s">
        <v>92</v>
      </c>
      <c r="F196" s="8" t="s">
        <v>236</v>
      </c>
      <c r="G196" s="8" t="s">
        <v>296</v>
      </c>
      <c r="H196" s="45" t="n">
        <v>36240</v>
      </c>
      <c r="I196" s="46" t="n">
        <v>43898</v>
      </c>
      <c r="J196" s="37" t="n">
        <f aca="false">IFERROR(ROUND(I196/MAX(2026-D196,0.5),0),"")</f>
        <v>43898</v>
      </c>
      <c r="K196" s="35" t="s">
        <v>259</v>
      </c>
      <c r="L196" s="35" t="s">
        <v>256</v>
      </c>
      <c r="M196" s="35" t="s">
        <v>302</v>
      </c>
      <c r="N196" s="33" t="n">
        <v>39</v>
      </c>
      <c r="O196" s="35" t="s">
        <v>276</v>
      </c>
      <c r="P196" s="45" t="n">
        <v>33667</v>
      </c>
      <c r="Q196" s="38" t="n">
        <v>-0.076</v>
      </c>
      <c r="R196" s="35" t="s">
        <v>258</v>
      </c>
      <c r="S196" s="45" t="n">
        <v>380</v>
      </c>
      <c r="T196" s="35" t="s">
        <v>255</v>
      </c>
      <c r="U196" s="33" t="n">
        <v>1</v>
      </c>
      <c r="V196" s="35" t="s">
        <v>259</v>
      </c>
      <c r="W196" s="33" t="n">
        <v>1</v>
      </c>
      <c r="X196" s="35" t="s">
        <v>259</v>
      </c>
      <c r="Y196" s="35" t="s">
        <v>255</v>
      </c>
      <c r="Z196" s="35" t="s">
        <v>259</v>
      </c>
      <c r="AA196" s="35" t="s">
        <v>259</v>
      </c>
      <c r="AB196" s="35" t="s">
        <v>255</v>
      </c>
      <c r="AC196" s="35" t="s">
        <v>259</v>
      </c>
      <c r="AD196" s="35" t="s">
        <v>259</v>
      </c>
      <c r="AE196" s="35" t="s">
        <v>259</v>
      </c>
      <c r="AF196" s="35" t="s">
        <v>259</v>
      </c>
      <c r="AG196" s="35" t="s">
        <v>259</v>
      </c>
      <c r="AH196" s="35" t="s">
        <v>259</v>
      </c>
      <c r="AI196" s="35" t="s">
        <v>255</v>
      </c>
      <c r="AJ196" s="35" t="s">
        <v>259</v>
      </c>
      <c r="AK196" s="8" t="s">
        <v>358</v>
      </c>
      <c r="AL196" s="8" t="s">
        <v>261</v>
      </c>
      <c r="AM196" s="8" t="s">
        <v>278</v>
      </c>
      <c r="AN196" s="8" t="s">
        <v>713</v>
      </c>
      <c r="AO196" s="8" t="s">
        <v>280</v>
      </c>
      <c r="AP196" s="35" t="s">
        <v>265</v>
      </c>
      <c r="AQ196" s="39" t="n">
        <v>11.4</v>
      </c>
      <c r="AR196" s="39" t="n">
        <v>4.6</v>
      </c>
      <c r="AS196" s="33" t="n">
        <v>32</v>
      </c>
      <c r="AT196" s="45"/>
      <c r="AU196" s="45" t="n">
        <v>647.38</v>
      </c>
      <c r="AV196" s="45" t="n">
        <v>250</v>
      </c>
      <c r="AW196" s="39" t="n">
        <v>83.6</v>
      </c>
      <c r="AX196" s="39" t="n">
        <v>45.1</v>
      </c>
      <c r="AY196" s="39" t="n">
        <v>39.3</v>
      </c>
      <c r="AZ196" s="39" t="n">
        <v>16</v>
      </c>
      <c r="BA196" s="39" t="n">
        <v>0</v>
      </c>
      <c r="BB196" s="39" t="n">
        <v>84.8</v>
      </c>
      <c r="BC196" s="8" t="s">
        <v>754</v>
      </c>
      <c r="BD196" s="47" t="s">
        <v>290</v>
      </c>
      <c r="BE196" s="41" t="s">
        <v>755</v>
      </c>
    </row>
    <row r="197" customFormat="false" ht="15" hidden="false" customHeight="false" outlineLevel="0" collapsed="false">
      <c r="A197" s="33" t="n">
        <f aca="false">RANK(B197,$B$5:$B$266)</f>
        <v>193</v>
      </c>
      <c r="B197" s="34" t="n">
        <f aca="false">ROUND((AW197*'Scoring Weights'!$B$5+AX197*'Scoring Weights'!$B$6+AY197*'Scoring Weights'!$B$7+BA197*'Scoring Weights'!$B$8+AZ197*'Scoring Weights'!$B$9+BB197*'Scoring Weights'!$B$10)/MAX('Scoring Weights'!$B$11,1),1)</f>
        <v>44.9</v>
      </c>
      <c r="C197" s="35" t="str">
        <f aca="false">IF(AND(H197&lt;='Search Criteria'!$B$5,D197&gt;='Search Criteria'!$B$6,AQ197&lt;='Search Criteria'!$B$7,I197&lt;=INDEX('Search Criteria'!$B$18:$B$20,MATCH(E197,'Search Criteria'!$A$18:$A$20,0)),OR(NOT('Search Criteria'!$B$8),L197&lt;&gt;"FWD"),OR(NOT('Search Criteria'!$B$9),T197="Yes"),OR(NOT('Search Criteria'!$B$10),W197&gt;0),OR(NOT('Search Criteria'!$B$11),X197="Yes"),OR(NOT('Search Criteria'!$B$12),O197="GREAT",O197="GOOD"),OR(NOT('Search Criteria'!$B$13),K197="Yes")),"YES","no")</f>
        <v>no</v>
      </c>
      <c r="D197" s="33" t="n">
        <v>2025</v>
      </c>
      <c r="E197" s="8" t="s">
        <v>95</v>
      </c>
      <c r="F197" s="8" t="s">
        <v>234</v>
      </c>
      <c r="G197" s="8" t="s">
        <v>325</v>
      </c>
      <c r="H197" s="45" t="n">
        <v>27755</v>
      </c>
      <c r="I197" s="46" t="n">
        <v>44788</v>
      </c>
      <c r="J197" s="37" t="n">
        <f aca="false">IFERROR(ROUND(I197/MAX(2026-D197,0.5),0),"")</f>
        <v>44788</v>
      </c>
      <c r="K197" s="35" t="s">
        <v>259</v>
      </c>
      <c r="L197" s="35" t="s">
        <v>256</v>
      </c>
      <c r="M197" s="35" t="s">
        <v>257</v>
      </c>
      <c r="N197" s="33" t="n">
        <v>28</v>
      </c>
      <c r="O197" s="35" t="s">
        <v>297</v>
      </c>
      <c r="P197" s="45" t="n">
        <v>29652</v>
      </c>
      <c r="Q197" s="38" t="n">
        <v>0.064</v>
      </c>
      <c r="R197" s="35" t="s">
        <v>277</v>
      </c>
      <c r="S197" s="45"/>
      <c r="T197" s="35" t="s">
        <v>255</v>
      </c>
      <c r="U197" s="33" t="n">
        <v>1</v>
      </c>
      <c r="V197" s="35" t="s">
        <v>259</v>
      </c>
      <c r="W197" s="33" t="n">
        <v>1</v>
      </c>
      <c r="X197" s="35" t="s">
        <v>255</v>
      </c>
      <c r="Y197" s="35" t="s">
        <v>255</v>
      </c>
      <c r="Z197" s="35" t="s">
        <v>255</v>
      </c>
      <c r="AA197" s="35" t="s">
        <v>255</v>
      </c>
      <c r="AB197" s="35" t="s">
        <v>255</v>
      </c>
      <c r="AC197" s="35" t="s">
        <v>255</v>
      </c>
      <c r="AD197" s="35" t="s">
        <v>255</v>
      </c>
      <c r="AE197" s="35" t="s">
        <v>259</v>
      </c>
      <c r="AF197" s="35" t="s">
        <v>259</v>
      </c>
      <c r="AG197" s="35" t="s">
        <v>259</v>
      </c>
      <c r="AH197" s="35" t="s">
        <v>255</v>
      </c>
      <c r="AI197" s="35" t="s">
        <v>255</v>
      </c>
      <c r="AJ197" s="35" t="s">
        <v>255</v>
      </c>
      <c r="AK197" s="8" t="s">
        <v>292</v>
      </c>
      <c r="AL197" s="8" t="s">
        <v>260</v>
      </c>
      <c r="AM197" s="8" t="s">
        <v>278</v>
      </c>
      <c r="AN197" s="8" t="s">
        <v>533</v>
      </c>
      <c r="AO197" s="8" t="s">
        <v>506</v>
      </c>
      <c r="AP197" s="35" t="s">
        <v>272</v>
      </c>
      <c r="AQ197" s="39" t="n">
        <v>52.6</v>
      </c>
      <c r="AR197" s="39" t="n">
        <v>4.5</v>
      </c>
      <c r="AS197" s="33" t="n">
        <v>13</v>
      </c>
      <c r="AT197" s="45"/>
      <c r="AU197" s="45" t="n">
        <v>495.8</v>
      </c>
      <c r="AV197" s="45" t="n">
        <v>314</v>
      </c>
      <c r="AW197" s="39" t="n">
        <v>69.3</v>
      </c>
      <c r="AX197" s="39" t="n">
        <v>62.3</v>
      </c>
      <c r="AY197" s="39" t="n">
        <v>7.3</v>
      </c>
      <c r="AZ197" s="39" t="n">
        <v>74</v>
      </c>
      <c r="BA197" s="39" t="n">
        <v>0</v>
      </c>
      <c r="BB197" s="39" t="n">
        <v>29.9</v>
      </c>
      <c r="BC197" s="8" t="s">
        <v>756</v>
      </c>
      <c r="BD197" s="47" t="s">
        <v>282</v>
      </c>
      <c r="BE197" s="41" t="s">
        <v>757</v>
      </c>
    </row>
    <row r="198" customFormat="false" ht="15" hidden="false" customHeight="false" outlineLevel="0" collapsed="false">
      <c r="A198" s="33" t="n">
        <f aca="false">RANK(B198,$B$5:$B$266)</f>
        <v>193</v>
      </c>
      <c r="B198" s="34" t="n">
        <f aca="false">ROUND((AW198*'Scoring Weights'!$B$5+AX198*'Scoring Weights'!$B$6+AY198*'Scoring Weights'!$B$7+BA198*'Scoring Weights'!$B$8+AZ198*'Scoring Weights'!$B$9+BB198*'Scoring Weights'!$B$10)/MAX('Scoring Weights'!$B$11,1),1)</f>
        <v>44.9</v>
      </c>
      <c r="C198" s="35" t="str">
        <f aca="false">IF(AND(H198&lt;='Search Criteria'!$B$5,D198&gt;='Search Criteria'!$B$6,AQ198&lt;='Search Criteria'!$B$7,I198&lt;=INDEX('Search Criteria'!$B$18:$B$20,MATCH(E198,'Search Criteria'!$A$18:$A$20,0)),OR(NOT('Search Criteria'!$B$8),L198&lt;&gt;"FWD"),OR(NOT('Search Criteria'!$B$9),T198="Yes"),OR(NOT('Search Criteria'!$B$10),W198&gt;0),OR(NOT('Search Criteria'!$B$11),X198="Yes"),OR(NOT('Search Criteria'!$B$12),O198="GREAT",O198="GOOD"),OR(NOT('Search Criteria'!$B$13),K198="Yes")),"YES","no")</f>
        <v>no</v>
      </c>
      <c r="D198" s="33" t="n">
        <v>2024</v>
      </c>
      <c r="E198" s="8" t="s">
        <v>95</v>
      </c>
      <c r="F198" s="8" t="s">
        <v>234</v>
      </c>
      <c r="G198" s="8" t="s">
        <v>407</v>
      </c>
      <c r="H198" s="45" t="n">
        <v>20309</v>
      </c>
      <c r="I198" s="46" t="n">
        <v>96100</v>
      </c>
      <c r="J198" s="37" t="n">
        <f aca="false">IFERROR(ROUND(I198/MAX(2026-D198,0.5),0),"")</f>
        <v>48050</v>
      </c>
      <c r="K198" s="35" t="s">
        <v>259</v>
      </c>
      <c r="L198" s="35" t="s">
        <v>256</v>
      </c>
      <c r="M198" s="35" t="s">
        <v>257</v>
      </c>
      <c r="N198" s="33" t="n">
        <v>28</v>
      </c>
      <c r="O198" s="35" t="s">
        <v>258</v>
      </c>
      <c r="P198" s="45" t="n">
        <v>22539</v>
      </c>
      <c r="Q198" s="38" t="n">
        <v>0.099</v>
      </c>
      <c r="R198" s="35" t="s">
        <v>286</v>
      </c>
      <c r="S198" s="45" t="n">
        <v>360</v>
      </c>
      <c r="T198" s="35" t="s">
        <v>255</v>
      </c>
      <c r="U198" s="33" t="n">
        <v>1</v>
      </c>
      <c r="V198" s="35" t="s">
        <v>259</v>
      </c>
      <c r="W198" s="33" t="n">
        <v>21</v>
      </c>
      <c r="X198" s="35" t="s">
        <v>255</v>
      </c>
      <c r="Y198" s="35" t="s">
        <v>255</v>
      </c>
      <c r="Z198" s="35" t="s">
        <v>259</v>
      </c>
      <c r="AA198" s="35" t="s">
        <v>259</v>
      </c>
      <c r="AB198" s="35" t="s">
        <v>259</v>
      </c>
      <c r="AC198" s="35" t="s">
        <v>259</v>
      </c>
      <c r="AD198" s="35" t="s">
        <v>255</v>
      </c>
      <c r="AE198" s="35" t="s">
        <v>259</v>
      </c>
      <c r="AF198" s="35" t="s">
        <v>259</v>
      </c>
      <c r="AG198" s="35" t="s">
        <v>259</v>
      </c>
      <c r="AH198" s="35" t="s">
        <v>259</v>
      </c>
      <c r="AI198" s="35" t="s">
        <v>255</v>
      </c>
      <c r="AJ198" s="35" t="s">
        <v>259</v>
      </c>
      <c r="AK198" s="8" t="s">
        <v>292</v>
      </c>
      <c r="AL198" s="8" t="s">
        <v>260</v>
      </c>
      <c r="AM198" s="8" t="s">
        <v>278</v>
      </c>
      <c r="AN198" s="8" t="s">
        <v>505</v>
      </c>
      <c r="AO198" s="8" t="s">
        <v>506</v>
      </c>
      <c r="AP198" s="35" t="s">
        <v>272</v>
      </c>
      <c r="AQ198" s="39" t="n">
        <v>52.7</v>
      </c>
      <c r="AR198" s="39" t="n">
        <v>4.8</v>
      </c>
      <c r="AS198" s="33" t="n">
        <v>184</v>
      </c>
      <c r="AT198" s="45" t="n">
        <v>2686</v>
      </c>
      <c r="AU198" s="45" t="n">
        <v>362.79</v>
      </c>
      <c r="AV198" s="45" t="n">
        <v>314</v>
      </c>
      <c r="AW198" s="39" t="n">
        <v>80.1</v>
      </c>
      <c r="AX198" s="39" t="n">
        <v>92.3</v>
      </c>
      <c r="AY198" s="39" t="n">
        <v>0</v>
      </c>
      <c r="AZ198" s="39" t="n">
        <v>16</v>
      </c>
      <c r="BA198" s="39" t="n">
        <v>0</v>
      </c>
      <c r="BB198" s="39" t="n">
        <v>29.7</v>
      </c>
      <c r="BC198" s="8" t="s">
        <v>758</v>
      </c>
      <c r="BD198" s="47" t="s">
        <v>423</v>
      </c>
      <c r="BE198" s="41" t="s">
        <v>759</v>
      </c>
    </row>
    <row r="199" customFormat="false" ht="15" hidden="false" customHeight="false" outlineLevel="0" collapsed="false">
      <c r="A199" s="33" t="n">
        <f aca="false">RANK(B199,$B$5:$B$266)</f>
        <v>195</v>
      </c>
      <c r="B199" s="34" t="n">
        <f aca="false">ROUND((AW199*'Scoring Weights'!$B$5+AX199*'Scoring Weights'!$B$6+AY199*'Scoring Weights'!$B$7+BA199*'Scoring Weights'!$B$8+AZ199*'Scoring Weights'!$B$9+BB199*'Scoring Weights'!$B$10)/MAX('Scoring Weights'!$B$11,1),1)</f>
        <v>44.8</v>
      </c>
      <c r="C199" s="35" t="str">
        <f aca="false">IF(AND(H199&lt;='Search Criteria'!$B$5,D199&gt;='Search Criteria'!$B$6,AQ199&lt;='Search Criteria'!$B$7,I199&lt;=INDEX('Search Criteria'!$B$18:$B$20,MATCH(E199,'Search Criteria'!$A$18:$A$20,0)),OR(NOT('Search Criteria'!$B$8),L199&lt;&gt;"FWD"),OR(NOT('Search Criteria'!$B$9),T199="Yes"),OR(NOT('Search Criteria'!$B$10),W199&gt;0),OR(NOT('Search Criteria'!$B$11),X199="Yes"),OR(NOT('Search Criteria'!$B$12),O199="GREAT",O199="GOOD"),OR(NOT('Search Criteria'!$B$13),K199="Yes")),"YES","no")</f>
        <v>no</v>
      </c>
      <c r="D199" s="33" t="n">
        <v>2023</v>
      </c>
      <c r="E199" s="8" t="s">
        <v>95</v>
      </c>
      <c r="F199" s="8" t="s">
        <v>234</v>
      </c>
      <c r="G199" s="8" t="s">
        <v>407</v>
      </c>
      <c r="H199" s="45" t="n">
        <v>23059</v>
      </c>
      <c r="I199" s="46" t="n">
        <v>67520</v>
      </c>
      <c r="J199" s="37" t="n">
        <f aca="false">IFERROR(ROUND(I199/MAX(2026-D199,0.5),0),"")</f>
        <v>22507</v>
      </c>
      <c r="K199" s="35" t="s">
        <v>259</v>
      </c>
      <c r="L199" s="35" t="s">
        <v>256</v>
      </c>
      <c r="M199" s="35" t="s">
        <v>257</v>
      </c>
      <c r="N199" s="33" t="n">
        <v>28</v>
      </c>
      <c r="O199" s="35" t="s">
        <v>297</v>
      </c>
      <c r="P199" s="45" t="n">
        <v>23908</v>
      </c>
      <c r="Q199" s="38" t="n">
        <v>0.036</v>
      </c>
      <c r="R199" s="35" t="s">
        <v>258</v>
      </c>
      <c r="S199" s="45" t="n">
        <v>350</v>
      </c>
      <c r="T199" s="35" t="s">
        <v>255</v>
      </c>
      <c r="U199" s="33" t="n">
        <v>1</v>
      </c>
      <c r="V199" s="35" t="s">
        <v>259</v>
      </c>
      <c r="W199" s="33" t="n">
        <v>9</v>
      </c>
      <c r="X199" s="35" t="s">
        <v>255</v>
      </c>
      <c r="Y199" s="35" t="s">
        <v>255</v>
      </c>
      <c r="Z199" s="35" t="s">
        <v>259</v>
      </c>
      <c r="AA199" s="35" t="s">
        <v>259</v>
      </c>
      <c r="AB199" s="35" t="s">
        <v>255</v>
      </c>
      <c r="AC199" s="35" t="s">
        <v>255</v>
      </c>
      <c r="AD199" s="35" t="s">
        <v>255</v>
      </c>
      <c r="AE199" s="35" t="s">
        <v>259</v>
      </c>
      <c r="AF199" s="35" t="s">
        <v>259</v>
      </c>
      <c r="AG199" s="35" t="s">
        <v>259</v>
      </c>
      <c r="AH199" s="35" t="s">
        <v>259</v>
      </c>
      <c r="AI199" s="35" t="s">
        <v>255</v>
      </c>
      <c r="AJ199" s="35" t="s">
        <v>259</v>
      </c>
      <c r="AK199" s="8" t="s">
        <v>292</v>
      </c>
      <c r="AL199" s="8" t="s">
        <v>260</v>
      </c>
      <c r="AM199" s="8" t="s">
        <v>278</v>
      </c>
      <c r="AN199" s="8" t="s">
        <v>315</v>
      </c>
      <c r="AO199" s="8" t="s">
        <v>294</v>
      </c>
      <c r="AP199" s="35" t="s">
        <v>272</v>
      </c>
      <c r="AQ199" s="39" t="n">
        <v>41.6</v>
      </c>
      <c r="AR199" s="39" t="n">
        <v>4.6</v>
      </c>
      <c r="AS199" s="33" t="n">
        <v>65</v>
      </c>
      <c r="AT199" s="45"/>
      <c r="AU199" s="45" t="n">
        <v>411.92</v>
      </c>
      <c r="AV199" s="45" t="n">
        <v>314</v>
      </c>
      <c r="AW199" s="39" t="n">
        <v>93.2</v>
      </c>
      <c r="AX199" s="39" t="n">
        <v>58.1</v>
      </c>
      <c r="AY199" s="39" t="n">
        <v>0</v>
      </c>
      <c r="AZ199" s="39" t="n">
        <v>40</v>
      </c>
      <c r="BA199" s="39" t="n">
        <v>0</v>
      </c>
      <c r="BB199" s="39" t="n">
        <v>44.5</v>
      </c>
      <c r="BC199" s="8" t="s">
        <v>760</v>
      </c>
      <c r="BD199" s="47" t="s">
        <v>632</v>
      </c>
      <c r="BE199" s="41" t="s">
        <v>761</v>
      </c>
    </row>
    <row r="200" customFormat="false" ht="15" hidden="false" customHeight="false" outlineLevel="0" collapsed="false">
      <c r="A200" s="33" t="n">
        <f aca="false">RANK(B200,$B$5:$B$266)</f>
        <v>196</v>
      </c>
      <c r="B200" s="34" t="n">
        <f aca="false">ROUND((AW200*'Scoring Weights'!$B$5+AX200*'Scoring Weights'!$B$6+AY200*'Scoring Weights'!$B$7+BA200*'Scoring Weights'!$B$8+AZ200*'Scoring Weights'!$B$9+BB200*'Scoring Weights'!$B$10)/MAX('Scoring Weights'!$B$11,1),1)</f>
        <v>44.6</v>
      </c>
      <c r="C200" s="35" t="str">
        <f aca="false">IF(AND(H200&lt;='Search Criteria'!$B$5,D200&gt;='Search Criteria'!$B$6,AQ200&lt;='Search Criteria'!$B$7,I200&lt;=INDEX('Search Criteria'!$B$18:$B$20,MATCH(E200,'Search Criteria'!$A$18:$A$20,0)),OR(NOT('Search Criteria'!$B$8),L200&lt;&gt;"FWD"),OR(NOT('Search Criteria'!$B$9),T200="Yes"),OR(NOT('Search Criteria'!$B$10),W200&gt;0),OR(NOT('Search Criteria'!$B$11),X200="Yes"),OR(NOT('Search Criteria'!$B$12),O200="GREAT",O200="GOOD"),OR(NOT('Search Criteria'!$B$13),K200="Yes")),"YES","no")</f>
        <v>no</v>
      </c>
      <c r="D200" s="33" t="n">
        <v>2025</v>
      </c>
      <c r="E200" s="8" t="s">
        <v>92</v>
      </c>
      <c r="F200" s="8" t="s">
        <v>236</v>
      </c>
      <c r="G200" s="8" t="s">
        <v>338</v>
      </c>
      <c r="H200" s="45" t="n">
        <v>30252</v>
      </c>
      <c r="I200" s="46" t="n">
        <v>52264</v>
      </c>
      <c r="J200" s="37" t="n">
        <f aca="false">IFERROR(ROUND(I200/MAX(2026-D200,0.5),0),"")</f>
        <v>52264</v>
      </c>
      <c r="K200" s="35" t="s">
        <v>259</v>
      </c>
      <c r="L200" s="35" t="s">
        <v>285</v>
      </c>
      <c r="M200" s="35" t="s">
        <v>257</v>
      </c>
      <c r="N200" s="33" t="n">
        <v>30</v>
      </c>
      <c r="O200" s="35" t="s">
        <v>276</v>
      </c>
      <c r="P200" s="45" t="n">
        <v>32999</v>
      </c>
      <c r="Q200" s="38" t="n">
        <v>0.083</v>
      </c>
      <c r="R200" s="35" t="s">
        <v>258</v>
      </c>
      <c r="S200" s="45" t="n">
        <v>220</v>
      </c>
      <c r="T200" s="35" t="s">
        <v>255</v>
      </c>
      <c r="U200" s="33" t="n">
        <v>1</v>
      </c>
      <c r="V200" s="35" t="s">
        <v>259</v>
      </c>
      <c r="W200" s="33" t="n">
        <v>1</v>
      </c>
      <c r="X200" s="35" t="s">
        <v>259</v>
      </c>
      <c r="Y200" s="35" t="s">
        <v>255</v>
      </c>
      <c r="Z200" s="35" t="s">
        <v>259</v>
      </c>
      <c r="AA200" s="35" t="s">
        <v>259</v>
      </c>
      <c r="AB200" s="35" t="s">
        <v>259</v>
      </c>
      <c r="AC200" s="35" t="s">
        <v>259</v>
      </c>
      <c r="AD200" s="35" t="s">
        <v>259</v>
      </c>
      <c r="AE200" s="35" t="s">
        <v>259</v>
      </c>
      <c r="AF200" s="35" t="s">
        <v>259</v>
      </c>
      <c r="AG200" s="35" t="s">
        <v>259</v>
      </c>
      <c r="AH200" s="35" t="s">
        <v>259</v>
      </c>
      <c r="AI200" s="35" t="s">
        <v>259</v>
      </c>
      <c r="AJ200" s="35" t="s">
        <v>259</v>
      </c>
      <c r="AK200" s="8" t="s">
        <v>261</v>
      </c>
      <c r="AL200" s="8" t="s">
        <v>261</v>
      </c>
      <c r="AM200" s="8" t="s">
        <v>278</v>
      </c>
      <c r="AN200" s="8" t="s">
        <v>762</v>
      </c>
      <c r="AO200" s="8" t="s">
        <v>763</v>
      </c>
      <c r="AP200" s="35" t="s">
        <v>272</v>
      </c>
      <c r="AQ200" s="39" t="n">
        <v>50.2</v>
      </c>
      <c r="AR200" s="39" t="n">
        <v>4.7</v>
      </c>
      <c r="AS200" s="33" t="n">
        <v>12</v>
      </c>
      <c r="AT200" s="45"/>
      <c r="AU200" s="45" t="n">
        <v>540.41</v>
      </c>
      <c r="AV200" s="45" t="n">
        <v>280</v>
      </c>
      <c r="AW200" s="39" t="n">
        <v>83.6</v>
      </c>
      <c r="AX200" s="39" t="n">
        <v>69.1</v>
      </c>
      <c r="AY200" s="39" t="n">
        <v>33.4</v>
      </c>
      <c r="AZ200" s="39" t="n">
        <v>0</v>
      </c>
      <c r="BA200" s="39" t="n">
        <v>0</v>
      </c>
      <c r="BB200" s="39" t="n">
        <v>33.1</v>
      </c>
      <c r="BC200" s="8" t="s">
        <v>764</v>
      </c>
      <c r="BD200" s="47" t="s">
        <v>290</v>
      </c>
      <c r="BE200" s="41" t="s">
        <v>765</v>
      </c>
    </row>
    <row r="201" customFormat="false" ht="15" hidden="false" customHeight="false" outlineLevel="0" collapsed="false">
      <c r="A201" s="33" t="n">
        <f aca="false">RANK(B201,$B$5:$B$266)</f>
        <v>196</v>
      </c>
      <c r="B201" s="34" t="n">
        <f aca="false">ROUND((AW201*'Scoring Weights'!$B$5+AX201*'Scoring Weights'!$B$6+AY201*'Scoring Weights'!$B$7+BA201*'Scoring Weights'!$B$8+AZ201*'Scoring Weights'!$B$9+BB201*'Scoring Weights'!$B$10)/MAX('Scoring Weights'!$B$11,1),1)</f>
        <v>44.6</v>
      </c>
      <c r="C201" s="35" t="str">
        <f aca="false">IF(AND(H201&lt;='Search Criteria'!$B$5,D201&gt;='Search Criteria'!$B$6,AQ201&lt;='Search Criteria'!$B$7,I201&lt;=INDEX('Search Criteria'!$B$18:$B$20,MATCH(E201,'Search Criteria'!$A$18:$A$20,0)),OR(NOT('Search Criteria'!$B$8),L201&lt;&gt;"FWD"),OR(NOT('Search Criteria'!$B$9),T201="Yes"),OR(NOT('Search Criteria'!$B$10),W201&gt;0),OR(NOT('Search Criteria'!$B$11),X201="Yes"),OR(NOT('Search Criteria'!$B$12),O201="GREAT",O201="GOOD"),OR(NOT('Search Criteria'!$B$13),K201="Yes")),"YES","no")</f>
        <v>no</v>
      </c>
      <c r="D201" s="33" t="n">
        <v>2023</v>
      </c>
      <c r="E201" s="8" t="s">
        <v>95</v>
      </c>
      <c r="F201" s="8" t="s">
        <v>234</v>
      </c>
      <c r="G201" s="8" t="s">
        <v>407</v>
      </c>
      <c r="H201" s="45" t="n">
        <v>21250</v>
      </c>
      <c r="I201" s="46" t="n">
        <v>83886</v>
      </c>
      <c r="J201" s="37" t="n">
        <f aca="false">IFERROR(ROUND(I201/MAX(2026-D201,0.5),0),"")</f>
        <v>27962</v>
      </c>
      <c r="K201" s="35" t="s">
        <v>259</v>
      </c>
      <c r="L201" s="35" t="s">
        <v>256</v>
      </c>
      <c r="M201" s="35" t="s">
        <v>257</v>
      </c>
      <c r="N201" s="33" t="n">
        <v>28</v>
      </c>
      <c r="O201" s="35" t="s">
        <v>286</v>
      </c>
      <c r="P201" s="45" t="n">
        <v>22171</v>
      </c>
      <c r="Q201" s="38" t="n">
        <v>0.042</v>
      </c>
      <c r="R201" s="35" t="s">
        <v>286</v>
      </c>
      <c r="S201" s="45" t="n">
        <v>360</v>
      </c>
      <c r="T201" s="35" t="s">
        <v>255</v>
      </c>
      <c r="U201" s="33" t="n">
        <v>1</v>
      </c>
      <c r="V201" s="35" t="s">
        <v>259</v>
      </c>
      <c r="W201" s="33" t="n">
        <v>20</v>
      </c>
      <c r="X201" s="35" t="s">
        <v>255</v>
      </c>
      <c r="Y201" s="35" t="s">
        <v>255</v>
      </c>
      <c r="Z201" s="35" t="s">
        <v>259</v>
      </c>
      <c r="AA201" s="35" t="s">
        <v>255</v>
      </c>
      <c r="AB201" s="35" t="s">
        <v>255</v>
      </c>
      <c r="AC201" s="35" t="s">
        <v>259</v>
      </c>
      <c r="AD201" s="35" t="s">
        <v>255</v>
      </c>
      <c r="AE201" s="35" t="s">
        <v>259</v>
      </c>
      <c r="AF201" s="35" t="s">
        <v>255</v>
      </c>
      <c r="AG201" s="35" t="s">
        <v>259</v>
      </c>
      <c r="AH201" s="35" t="s">
        <v>259</v>
      </c>
      <c r="AI201" s="35" t="s">
        <v>255</v>
      </c>
      <c r="AJ201" s="35" t="s">
        <v>259</v>
      </c>
      <c r="AK201" s="8" t="s">
        <v>292</v>
      </c>
      <c r="AL201" s="8" t="s">
        <v>260</v>
      </c>
      <c r="AM201" s="8" t="s">
        <v>278</v>
      </c>
      <c r="AN201" s="8" t="s">
        <v>339</v>
      </c>
      <c r="AO201" s="8" t="s">
        <v>340</v>
      </c>
      <c r="AP201" s="35" t="s">
        <v>265</v>
      </c>
      <c r="AQ201" s="39" t="n">
        <v>59.9</v>
      </c>
      <c r="AR201" s="39" t="n">
        <v>4.5</v>
      </c>
      <c r="AS201" s="33" t="n">
        <v>18</v>
      </c>
      <c r="AT201" s="45" t="n">
        <v>738</v>
      </c>
      <c r="AU201" s="45" t="n">
        <v>379.6</v>
      </c>
      <c r="AV201" s="45" t="n">
        <v>262</v>
      </c>
      <c r="AW201" s="39" t="n">
        <v>80.1</v>
      </c>
      <c r="AX201" s="39" t="n">
        <v>71.6</v>
      </c>
      <c r="AY201" s="39" t="n">
        <v>0</v>
      </c>
      <c r="AZ201" s="39" t="n">
        <v>50</v>
      </c>
      <c r="BA201" s="39" t="n">
        <v>0</v>
      </c>
      <c r="BB201" s="39" t="n">
        <v>20.2</v>
      </c>
      <c r="BC201" s="8" t="s">
        <v>766</v>
      </c>
      <c r="BD201" s="47" t="s">
        <v>632</v>
      </c>
      <c r="BE201" s="41" t="s">
        <v>767</v>
      </c>
    </row>
    <row r="202" customFormat="false" ht="15" hidden="false" customHeight="false" outlineLevel="0" collapsed="false">
      <c r="A202" s="33" t="n">
        <f aca="false">RANK(B202,$B$5:$B$266)</f>
        <v>198</v>
      </c>
      <c r="B202" s="34" t="n">
        <f aca="false">ROUND((AW202*'Scoring Weights'!$B$5+AX202*'Scoring Weights'!$B$6+AY202*'Scoring Weights'!$B$7+BA202*'Scoring Weights'!$B$8+AZ202*'Scoring Weights'!$B$9+BB202*'Scoring Weights'!$B$10)/MAX('Scoring Weights'!$B$11,1),1)</f>
        <v>44.5</v>
      </c>
      <c r="C202" s="35" t="str">
        <f aca="false">IF(AND(H202&lt;='Search Criteria'!$B$5,D202&gt;='Search Criteria'!$B$6,AQ202&lt;='Search Criteria'!$B$7,I202&lt;=INDEX('Search Criteria'!$B$18:$B$20,MATCH(E202,'Search Criteria'!$A$18:$A$20,0)),OR(NOT('Search Criteria'!$B$8),L202&lt;&gt;"FWD"),OR(NOT('Search Criteria'!$B$9),T202="Yes"),OR(NOT('Search Criteria'!$B$10),W202&gt;0),OR(NOT('Search Criteria'!$B$11),X202="Yes"),OR(NOT('Search Criteria'!$B$12),O202="GREAT",O202="GOOD"),OR(NOT('Search Criteria'!$B$13),K202="Yes")),"YES","no")</f>
        <v>no</v>
      </c>
      <c r="D202" s="33" t="n">
        <v>2025</v>
      </c>
      <c r="E202" s="8" t="s">
        <v>92</v>
      </c>
      <c r="F202" s="8" t="s">
        <v>236</v>
      </c>
      <c r="G202" s="8" t="s">
        <v>338</v>
      </c>
      <c r="H202" s="45" t="n">
        <v>30088</v>
      </c>
      <c r="I202" s="46" t="n">
        <v>53907</v>
      </c>
      <c r="J202" s="37" t="n">
        <f aca="false">IFERROR(ROUND(I202/MAX(2026-D202,0.5),0),"")</f>
        <v>53907</v>
      </c>
      <c r="K202" s="35" t="s">
        <v>259</v>
      </c>
      <c r="L202" s="35" t="s">
        <v>285</v>
      </c>
      <c r="M202" s="35" t="s">
        <v>257</v>
      </c>
      <c r="N202" s="33" t="n">
        <v>30</v>
      </c>
      <c r="O202" s="35" t="s">
        <v>276</v>
      </c>
      <c r="P202" s="45" t="n">
        <v>32868</v>
      </c>
      <c r="Q202" s="38" t="n">
        <v>0.085</v>
      </c>
      <c r="R202" s="35" t="s">
        <v>258</v>
      </c>
      <c r="S202" s="45" t="n">
        <v>310</v>
      </c>
      <c r="T202" s="35" t="s">
        <v>255</v>
      </c>
      <c r="U202" s="33" t="n">
        <v>1</v>
      </c>
      <c r="V202" s="35" t="s">
        <v>259</v>
      </c>
      <c r="W202" s="33" t="n">
        <v>1</v>
      </c>
      <c r="X202" s="35" t="s">
        <v>259</v>
      </c>
      <c r="Y202" s="35" t="s">
        <v>255</v>
      </c>
      <c r="Z202" s="35" t="s">
        <v>259</v>
      </c>
      <c r="AA202" s="35" t="s">
        <v>259</v>
      </c>
      <c r="AB202" s="35" t="s">
        <v>259</v>
      </c>
      <c r="AC202" s="35" t="s">
        <v>259</v>
      </c>
      <c r="AD202" s="35" t="s">
        <v>259</v>
      </c>
      <c r="AE202" s="35" t="s">
        <v>259</v>
      </c>
      <c r="AF202" s="35" t="s">
        <v>259</v>
      </c>
      <c r="AG202" s="35" t="s">
        <v>259</v>
      </c>
      <c r="AH202" s="35" t="s">
        <v>259</v>
      </c>
      <c r="AI202" s="35" t="s">
        <v>259</v>
      </c>
      <c r="AJ202" s="35" t="s">
        <v>259</v>
      </c>
      <c r="AK202" s="8" t="s">
        <v>261</v>
      </c>
      <c r="AL202" s="8" t="s">
        <v>261</v>
      </c>
      <c r="AM202" s="8" t="s">
        <v>278</v>
      </c>
      <c r="AN202" s="8" t="s">
        <v>762</v>
      </c>
      <c r="AO202" s="8" t="s">
        <v>763</v>
      </c>
      <c r="AP202" s="35" t="s">
        <v>272</v>
      </c>
      <c r="AQ202" s="39" t="n">
        <v>50.2</v>
      </c>
      <c r="AR202" s="39" t="n">
        <v>4.7</v>
      </c>
      <c r="AS202" s="33" t="n">
        <v>11</v>
      </c>
      <c r="AT202" s="45"/>
      <c r="AU202" s="45" t="n">
        <v>537.48</v>
      </c>
      <c r="AV202" s="45" t="n">
        <v>280</v>
      </c>
      <c r="AW202" s="39" t="n">
        <v>83.6</v>
      </c>
      <c r="AX202" s="39" t="n">
        <v>69.3</v>
      </c>
      <c r="AY202" s="39" t="n">
        <v>32.3</v>
      </c>
      <c r="AZ202" s="39" t="n">
        <v>0</v>
      </c>
      <c r="BA202" s="39" t="n">
        <v>0</v>
      </c>
      <c r="BB202" s="39" t="n">
        <v>33.1</v>
      </c>
      <c r="BC202" s="8" t="s">
        <v>768</v>
      </c>
      <c r="BD202" s="47" t="s">
        <v>290</v>
      </c>
      <c r="BE202" s="41" t="s">
        <v>769</v>
      </c>
    </row>
    <row r="203" customFormat="false" ht="15" hidden="false" customHeight="false" outlineLevel="0" collapsed="false">
      <c r="A203" s="33" t="n">
        <f aca="false">RANK(B203,$B$5:$B$266)</f>
        <v>199</v>
      </c>
      <c r="B203" s="34" t="n">
        <f aca="false">ROUND((AW203*'Scoring Weights'!$B$5+AX203*'Scoring Weights'!$B$6+AY203*'Scoring Weights'!$B$7+BA203*'Scoring Weights'!$B$8+AZ203*'Scoring Weights'!$B$9+BB203*'Scoring Weights'!$B$10)/MAX('Scoring Weights'!$B$11,1),1)</f>
        <v>44.4</v>
      </c>
      <c r="C203" s="35" t="str">
        <f aca="false">IF(AND(H203&lt;='Search Criteria'!$B$5,D203&gt;='Search Criteria'!$B$6,AQ203&lt;='Search Criteria'!$B$7,I203&lt;=INDEX('Search Criteria'!$B$18:$B$20,MATCH(E203,'Search Criteria'!$A$18:$A$20,0)),OR(NOT('Search Criteria'!$B$8),L203&lt;&gt;"FWD"),OR(NOT('Search Criteria'!$B$9),T203="Yes"),OR(NOT('Search Criteria'!$B$10),W203&gt;0),OR(NOT('Search Criteria'!$B$11),X203="Yes"),OR(NOT('Search Criteria'!$B$12),O203="GREAT",O203="GOOD"),OR(NOT('Search Criteria'!$B$13),K203="Yes")),"YES","no")</f>
        <v>no</v>
      </c>
      <c r="D203" s="33" t="n">
        <v>2022</v>
      </c>
      <c r="E203" s="8" t="s">
        <v>92</v>
      </c>
      <c r="F203" s="8" t="s">
        <v>236</v>
      </c>
      <c r="G203" s="8" t="s">
        <v>296</v>
      </c>
      <c r="H203" s="45" t="n">
        <v>28270</v>
      </c>
      <c r="I203" s="46" t="n">
        <v>83597</v>
      </c>
      <c r="J203" s="37" t="n">
        <f aca="false">IFERROR(ROUND(I203/MAX(2026-D203,0.5),0),"")</f>
        <v>20899</v>
      </c>
      <c r="K203" s="35" t="s">
        <v>259</v>
      </c>
      <c r="L203" s="35" t="s">
        <v>256</v>
      </c>
      <c r="M203" s="35" t="s">
        <v>257</v>
      </c>
      <c r="N203" s="33" t="n">
        <v>28</v>
      </c>
      <c r="O203" s="35" t="s">
        <v>297</v>
      </c>
      <c r="P203" s="45" t="n">
        <v>26915</v>
      </c>
      <c r="Q203" s="38" t="n">
        <v>-0.05</v>
      </c>
      <c r="R203" s="35" t="s">
        <v>258</v>
      </c>
      <c r="S203" s="45" t="n">
        <v>100</v>
      </c>
      <c r="T203" s="35" t="s">
        <v>259</v>
      </c>
      <c r="U203" s="33" t="n">
        <v>1</v>
      </c>
      <c r="V203" s="35" t="s">
        <v>255</v>
      </c>
      <c r="W203" s="33" t="n">
        <v>17</v>
      </c>
      <c r="X203" s="35" t="s">
        <v>255</v>
      </c>
      <c r="Y203" s="35" t="s">
        <v>255</v>
      </c>
      <c r="Z203" s="35" t="s">
        <v>255</v>
      </c>
      <c r="AA203" s="35" t="s">
        <v>255</v>
      </c>
      <c r="AB203" s="35" t="s">
        <v>255</v>
      </c>
      <c r="AC203" s="35" t="s">
        <v>255</v>
      </c>
      <c r="AD203" s="35" t="s">
        <v>259</v>
      </c>
      <c r="AE203" s="35" t="s">
        <v>259</v>
      </c>
      <c r="AF203" s="35" t="s">
        <v>259</v>
      </c>
      <c r="AG203" s="35" t="s">
        <v>259</v>
      </c>
      <c r="AH203" s="35" t="s">
        <v>259</v>
      </c>
      <c r="AI203" s="35" t="s">
        <v>255</v>
      </c>
      <c r="AJ203" s="35" t="s">
        <v>259</v>
      </c>
      <c r="AK203" s="8" t="s">
        <v>260</v>
      </c>
      <c r="AL203" s="8" t="s">
        <v>261</v>
      </c>
      <c r="AM203" s="8" t="s">
        <v>278</v>
      </c>
      <c r="AN203" s="8" t="s">
        <v>355</v>
      </c>
      <c r="AO203" s="8" t="s">
        <v>356</v>
      </c>
      <c r="AP203" s="35" t="s">
        <v>272</v>
      </c>
      <c r="AQ203" s="39" t="n">
        <v>34.7</v>
      </c>
      <c r="AR203" s="39" t="n">
        <v>4.6</v>
      </c>
      <c r="AS203" s="33" t="n">
        <v>16</v>
      </c>
      <c r="AT203" s="45"/>
      <c r="AU203" s="45" t="n">
        <v>505</v>
      </c>
      <c r="AV203" s="45" t="n">
        <v>280</v>
      </c>
      <c r="AW203" s="39" t="n">
        <v>86.4</v>
      </c>
      <c r="AX203" s="39" t="n">
        <v>45.2</v>
      </c>
      <c r="AY203" s="39" t="n">
        <v>11.5</v>
      </c>
      <c r="AZ203" s="39" t="n">
        <v>52</v>
      </c>
      <c r="BA203" s="39" t="n">
        <v>0</v>
      </c>
      <c r="BB203" s="39" t="n">
        <v>53.7</v>
      </c>
      <c r="BC203" s="8" t="s">
        <v>770</v>
      </c>
      <c r="BD203" s="47" t="s">
        <v>365</v>
      </c>
      <c r="BE203" s="41" t="s">
        <v>771</v>
      </c>
    </row>
    <row r="204" customFormat="false" ht="15" hidden="false" customHeight="false" outlineLevel="0" collapsed="false">
      <c r="A204" s="33" t="n">
        <f aca="false">RANK(B204,$B$5:$B$266)</f>
        <v>199</v>
      </c>
      <c r="B204" s="34" t="n">
        <f aca="false">ROUND((AW204*'Scoring Weights'!$B$5+AX204*'Scoring Weights'!$B$6+AY204*'Scoring Weights'!$B$7+BA204*'Scoring Weights'!$B$8+AZ204*'Scoring Weights'!$B$9+BB204*'Scoring Weights'!$B$10)/MAX('Scoring Weights'!$B$11,1),1)</f>
        <v>44.4</v>
      </c>
      <c r="C204" s="35" t="str">
        <f aca="false">IF(AND(H204&lt;='Search Criteria'!$B$5,D204&gt;='Search Criteria'!$B$6,AQ204&lt;='Search Criteria'!$B$7,I204&lt;=INDEX('Search Criteria'!$B$18:$B$20,MATCH(E204,'Search Criteria'!$A$18:$A$20,0)),OR(NOT('Search Criteria'!$B$8),L204&lt;&gt;"FWD"),OR(NOT('Search Criteria'!$B$9),T204="Yes"),OR(NOT('Search Criteria'!$B$10),W204&gt;0),OR(NOT('Search Criteria'!$B$11),X204="Yes"),OR(NOT('Search Criteria'!$B$12),O204="GREAT",O204="GOOD"),OR(NOT('Search Criteria'!$B$13),K204="Yes")),"YES","no")</f>
        <v>no</v>
      </c>
      <c r="D204" s="33" t="n">
        <v>2024</v>
      </c>
      <c r="E204" s="8" t="s">
        <v>94</v>
      </c>
      <c r="F204" s="8" t="s">
        <v>232</v>
      </c>
      <c r="G204" s="8" t="s">
        <v>332</v>
      </c>
      <c r="H204" s="45" t="n">
        <v>30238</v>
      </c>
      <c r="I204" s="46" t="n">
        <v>86988</v>
      </c>
      <c r="J204" s="37" t="n">
        <f aca="false">IFERROR(ROUND(I204/MAX(2026-D204,0.5),0),"")</f>
        <v>43494</v>
      </c>
      <c r="K204" s="35" t="s">
        <v>259</v>
      </c>
      <c r="L204" s="35" t="s">
        <v>285</v>
      </c>
      <c r="M204" s="35" t="s">
        <v>302</v>
      </c>
      <c r="N204" s="33" t="n">
        <v>40</v>
      </c>
      <c r="O204" s="35" t="s">
        <v>276</v>
      </c>
      <c r="P204" s="45" t="n">
        <v>28896</v>
      </c>
      <c r="Q204" s="38" t="n">
        <v>-0.046</v>
      </c>
      <c r="R204" s="35" t="s">
        <v>277</v>
      </c>
      <c r="S204" s="45"/>
      <c r="T204" s="35" t="s">
        <v>259</v>
      </c>
      <c r="U204" s="33" t="n">
        <v>1</v>
      </c>
      <c r="V204" s="35" t="s">
        <v>255</v>
      </c>
      <c r="W204" s="33" t="n">
        <v>15</v>
      </c>
      <c r="X204" s="35" t="s">
        <v>255</v>
      </c>
      <c r="Y204" s="35" t="s">
        <v>255</v>
      </c>
      <c r="Z204" s="35" t="s">
        <v>259</v>
      </c>
      <c r="AA204" s="35" t="s">
        <v>255</v>
      </c>
      <c r="AB204" s="35" t="s">
        <v>255</v>
      </c>
      <c r="AC204" s="35" t="s">
        <v>255</v>
      </c>
      <c r="AD204" s="35" t="s">
        <v>255</v>
      </c>
      <c r="AE204" s="35" t="s">
        <v>259</v>
      </c>
      <c r="AF204" s="35" t="s">
        <v>259</v>
      </c>
      <c r="AG204" s="35" t="s">
        <v>255</v>
      </c>
      <c r="AH204" s="35" t="s">
        <v>255</v>
      </c>
      <c r="AI204" s="35" t="s">
        <v>255</v>
      </c>
      <c r="AJ204" s="35" t="s">
        <v>259</v>
      </c>
      <c r="AK204" s="8" t="s">
        <v>261</v>
      </c>
      <c r="AL204" s="8" t="s">
        <v>261</v>
      </c>
      <c r="AM204" s="8" t="s">
        <v>303</v>
      </c>
      <c r="AN204" s="8" t="s">
        <v>484</v>
      </c>
      <c r="AO204" s="8" t="s">
        <v>485</v>
      </c>
      <c r="AP204" s="35" t="s">
        <v>265</v>
      </c>
      <c r="AQ204" s="39" t="n">
        <v>53</v>
      </c>
      <c r="AR204" s="39" t="n">
        <v>4.4</v>
      </c>
      <c r="AS204" s="33" t="n">
        <v>39</v>
      </c>
      <c r="AT204" s="45" t="n">
        <v>1128</v>
      </c>
      <c r="AU204" s="45" t="n">
        <v>540.16</v>
      </c>
      <c r="AV204" s="45" t="n">
        <v>261</v>
      </c>
      <c r="AW204" s="39" t="n">
        <v>86.4</v>
      </c>
      <c r="AX204" s="39" t="n">
        <v>49.6</v>
      </c>
      <c r="AY204" s="39" t="n">
        <v>0</v>
      </c>
      <c r="AZ204" s="39" t="n">
        <v>68</v>
      </c>
      <c r="BA204" s="39" t="n">
        <v>0</v>
      </c>
      <c r="BB204" s="39" t="n">
        <v>29.3</v>
      </c>
      <c r="BC204" s="8" t="s">
        <v>772</v>
      </c>
      <c r="BD204" s="47" t="s">
        <v>307</v>
      </c>
      <c r="BE204" s="41" t="s">
        <v>773</v>
      </c>
    </row>
    <row r="205" customFormat="false" ht="15" hidden="false" customHeight="false" outlineLevel="0" collapsed="false">
      <c r="A205" s="33" t="n">
        <f aca="false">RANK(B205,$B$5:$B$266)</f>
        <v>201</v>
      </c>
      <c r="B205" s="34" t="n">
        <f aca="false">ROUND((AW205*'Scoring Weights'!$B$5+AX205*'Scoring Weights'!$B$6+AY205*'Scoring Weights'!$B$7+BA205*'Scoring Weights'!$B$8+AZ205*'Scoring Weights'!$B$9+BB205*'Scoring Weights'!$B$10)/MAX('Scoring Weights'!$B$11,1),1)</f>
        <v>44.3</v>
      </c>
      <c r="C205" s="35" t="str">
        <f aca="false">IF(AND(H205&lt;='Search Criteria'!$B$5,D205&gt;='Search Criteria'!$B$6,AQ205&lt;='Search Criteria'!$B$7,I205&lt;=INDEX('Search Criteria'!$B$18:$B$20,MATCH(E205,'Search Criteria'!$A$18:$A$20,0)),OR(NOT('Search Criteria'!$B$8),L205&lt;&gt;"FWD"),OR(NOT('Search Criteria'!$B$9),T205="Yes"),OR(NOT('Search Criteria'!$B$10),W205&gt;0),OR(NOT('Search Criteria'!$B$11),X205="Yes"),OR(NOT('Search Criteria'!$B$12),O205="GREAT",O205="GOOD"),OR(NOT('Search Criteria'!$B$13),K205="Yes")),"YES","no")</f>
        <v>no</v>
      </c>
      <c r="D205" s="33" t="n">
        <v>2023</v>
      </c>
      <c r="E205" s="8" t="s">
        <v>92</v>
      </c>
      <c r="F205" s="8" t="s">
        <v>236</v>
      </c>
      <c r="G205" s="8" t="s">
        <v>284</v>
      </c>
      <c r="H205" s="45" t="n">
        <v>33038</v>
      </c>
      <c r="I205" s="46" t="n">
        <v>75195</v>
      </c>
      <c r="J205" s="37" t="n">
        <f aca="false">IFERROR(ROUND(I205/MAX(2026-D205,0.5),0),"")</f>
        <v>25065</v>
      </c>
      <c r="K205" s="35" t="s">
        <v>259</v>
      </c>
      <c r="L205" s="35" t="s">
        <v>256</v>
      </c>
      <c r="M205" s="35" t="s">
        <v>257</v>
      </c>
      <c r="N205" s="33" t="n">
        <v>28</v>
      </c>
      <c r="O205" s="35" t="s">
        <v>297</v>
      </c>
      <c r="P205" s="45" t="n">
        <v>28780</v>
      </c>
      <c r="Q205" s="38" t="n">
        <v>-0.148</v>
      </c>
      <c r="R205" s="35" t="s">
        <v>258</v>
      </c>
      <c r="S205" s="45" t="n">
        <v>150</v>
      </c>
      <c r="T205" s="35" t="s">
        <v>259</v>
      </c>
      <c r="U205" s="33" t="n">
        <v>1</v>
      </c>
      <c r="V205" s="35" t="s">
        <v>255</v>
      </c>
      <c r="W205" s="33" t="n">
        <v>7</v>
      </c>
      <c r="X205" s="35" t="s">
        <v>255</v>
      </c>
      <c r="Y205" s="35" t="s">
        <v>255</v>
      </c>
      <c r="Z205" s="35" t="s">
        <v>255</v>
      </c>
      <c r="AA205" s="35" t="s">
        <v>255</v>
      </c>
      <c r="AB205" s="35" t="s">
        <v>255</v>
      </c>
      <c r="AC205" s="35" t="s">
        <v>255</v>
      </c>
      <c r="AD205" s="35" t="s">
        <v>255</v>
      </c>
      <c r="AE205" s="35" t="s">
        <v>259</v>
      </c>
      <c r="AF205" s="35" t="s">
        <v>259</v>
      </c>
      <c r="AG205" s="35" t="s">
        <v>255</v>
      </c>
      <c r="AH205" s="35" t="s">
        <v>255</v>
      </c>
      <c r="AI205" s="35" t="s">
        <v>255</v>
      </c>
      <c r="AJ205" s="35" t="s">
        <v>255</v>
      </c>
      <c r="AK205" s="8" t="s">
        <v>292</v>
      </c>
      <c r="AL205" s="8" t="s">
        <v>260</v>
      </c>
      <c r="AM205" s="8" t="s">
        <v>278</v>
      </c>
      <c r="AN205" s="8" t="s">
        <v>484</v>
      </c>
      <c r="AO205" s="8" t="s">
        <v>485</v>
      </c>
      <c r="AP205" s="35" t="s">
        <v>265</v>
      </c>
      <c r="AQ205" s="39" t="n">
        <v>53</v>
      </c>
      <c r="AR205" s="39" t="n">
        <v>4.4</v>
      </c>
      <c r="AS205" s="33" t="n">
        <v>11</v>
      </c>
      <c r="AT205" s="45"/>
      <c r="AU205" s="45" t="n">
        <v>590.18</v>
      </c>
      <c r="AV205" s="45" t="n">
        <v>261</v>
      </c>
      <c r="AW205" s="39" t="n">
        <v>82.8</v>
      </c>
      <c r="AX205" s="39" t="n">
        <v>30.6</v>
      </c>
      <c r="AY205" s="39" t="n">
        <v>17.4</v>
      </c>
      <c r="AZ205" s="39" t="n">
        <v>82</v>
      </c>
      <c r="BA205" s="39" t="n">
        <v>0</v>
      </c>
      <c r="BB205" s="39" t="n">
        <v>29.3</v>
      </c>
      <c r="BC205" s="8" t="s">
        <v>774</v>
      </c>
      <c r="BD205" s="47" t="s">
        <v>451</v>
      </c>
      <c r="BE205" s="41" t="s">
        <v>775</v>
      </c>
    </row>
    <row r="206" customFormat="false" ht="15" hidden="false" customHeight="false" outlineLevel="0" collapsed="false">
      <c r="A206" s="33" t="n">
        <f aca="false">RANK(B206,$B$5:$B$266)</f>
        <v>202</v>
      </c>
      <c r="B206" s="34" t="n">
        <f aca="false">ROUND((AW206*'Scoring Weights'!$B$5+AX206*'Scoring Weights'!$B$6+AY206*'Scoring Weights'!$B$7+BA206*'Scoring Weights'!$B$8+AZ206*'Scoring Weights'!$B$9+BB206*'Scoring Weights'!$B$10)/MAX('Scoring Weights'!$B$11,1),1)</f>
        <v>44.2</v>
      </c>
      <c r="C206" s="35" t="str">
        <f aca="false">IF(AND(H206&lt;='Search Criteria'!$B$5,D206&gt;='Search Criteria'!$B$6,AQ206&lt;='Search Criteria'!$B$7,I206&lt;=INDEX('Search Criteria'!$B$18:$B$20,MATCH(E206,'Search Criteria'!$A$18:$A$20,0)),OR(NOT('Search Criteria'!$B$8),L206&lt;&gt;"FWD"),OR(NOT('Search Criteria'!$B$9),T206="Yes"),OR(NOT('Search Criteria'!$B$10),W206&gt;0),OR(NOT('Search Criteria'!$B$11),X206="Yes"),OR(NOT('Search Criteria'!$B$12),O206="GREAT",O206="GOOD"),OR(NOT('Search Criteria'!$B$13),K206="Yes")),"YES","no")</f>
        <v>no</v>
      </c>
      <c r="D206" s="33" t="n">
        <v>2022</v>
      </c>
      <c r="E206" s="8" t="s">
        <v>92</v>
      </c>
      <c r="F206" s="8" t="s">
        <v>236</v>
      </c>
      <c r="G206" s="8" t="s">
        <v>776</v>
      </c>
      <c r="H206" s="45" t="n">
        <v>28398</v>
      </c>
      <c r="I206" s="46" t="n">
        <v>75122</v>
      </c>
      <c r="J206" s="37" t="n">
        <f aca="false">IFERROR(ROUND(I206/MAX(2026-D206,0.5),0),"")</f>
        <v>18781</v>
      </c>
      <c r="K206" s="35" t="s">
        <v>259</v>
      </c>
      <c r="L206" s="35" t="s">
        <v>256</v>
      </c>
      <c r="M206" s="35" t="s">
        <v>257</v>
      </c>
      <c r="N206" s="33" t="n">
        <v>28</v>
      </c>
      <c r="O206" s="35" t="s">
        <v>286</v>
      </c>
      <c r="P206" s="45" t="n">
        <v>27591</v>
      </c>
      <c r="Q206" s="38" t="n">
        <v>-0.029</v>
      </c>
      <c r="R206" s="35" t="s">
        <v>258</v>
      </c>
      <c r="S206" s="45" t="n">
        <v>150</v>
      </c>
      <c r="T206" s="35" t="s">
        <v>259</v>
      </c>
      <c r="U206" s="33" t="n">
        <v>3</v>
      </c>
      <c r="V206" s="35" t="s">
        <v>259</v>
      </c>
      <c r="W206" s="33" t="n">
        <v>8</v>
      </c>
      <c r="X206" s="35" t="s">
        <v>255</v>
      </c>
      <c r="Y206" s="35" t="s">
        <v>255</v>
      </c>
      <c r="Z206" s="35" t="s">
        <v>255</v>
      </c>
      <c r="AA206" s="35" t="s">
        <v>259</v>
      </c>
      <c r="AB206" s="35" t="s">
        <v>255</v>
      </c>
      <c r="AC206" s="35" t="s">
        <v>259</v>
      </c>
      <c r="AD206" s="35" t="s">
        <v>255</v>
      </c>
      <c r="AE206" s="35" t="s">
        <v>259</v>
      </c>
      <c r="AF206" s="35" t="s">
        <v>259</v>
      </c>
      <c r="AG206" s="35" t="s">
        <v>259</v>
      </c>
      <c r="AH206" s="35" t="s">
        <v>259</v>
      </c>
      <c r="AI206" s="35" t="s">
        <v>255</v>
      </c>
      <c r="AJ206" s="35" t="s">
        <v>259</v>
      </c>
      <c r="AK206" s="8" t="s">
        <v>435</v>
      </c>
      <c r="AL206" s="8" t="s">
        <v>261</v>
      </c>
      <c r="AM206" s="8" t="s">
        <v>278</v>
      </c>
      <c r="AN206" s="8" t="s">
        <v>333</v>
      </c>
      <c r="AO206" s="8" t="s">
        <v>280</v>
      </c>
      <c r="AP206" s="35" t="s">
        <v>265</v>
      </c>
      <c r="AQ206" s="39" t="n">
        <v>11.1</v>
      </c>
      <c r="AR206" s="39" t="n">
        <v>4.7</v>
      </c>
      <c r="AS206" s="33" t="n">
        <v>19</v>
      </c>
      <c r="AT206" s="45" t="n">
        <v>-149</v>
      </c>
      <c r="AU206" s="45" t="n">
        <v>507.29</v>
      </c>
      <c r="AV206" s="45" t="n">
        <v>250</v>
      </c>
      <c r="AW206" s="39" t="n">
        <v>69.6</v>
      </c>
      <c r="AX206" s="39" t="n">
        <v>61</v>
      </c>
      <c r="AY206" s="39" t="n">
        <v>17.4</v>
      </c>
      <c r="AZ206" s="39" t="n">
        <v>38</v>
      </c>
      <c r="BA206" s="39" t="n">
        <v>0</v>
      </c>
      <c r="BB206" s="39" t="n">
        <v>85.2</v>
      </c>
      <c r="BC206" s="8" t="s">
        <v>777</v>
      </c>
      <c r="BD206" s="47" t="s">
        <v>365</v>
      </c>
      <c r="BE206" s="41" t="s">
        <v>778</v>
      </c>
    </row>
    <row r="207" customFormat="false" ht="15" hidden="false" customHeight="false" outlineLevel="0" collapsed="false">
      <c r="A207" s="33" t="n">
        <f aca="false">RANK(B207,$B$5:$B$266)</f>
        <v>202</v>
      </c>
      <c r="B207" s="34" t="n">
        <f aca="false">ROUND((AW207*'Scoring Weights'!$B$5+AX207*'Scoring Weights'!$B$6+AY207*'Scoring Weights'!$B$7+BA207*'Scoring Weights'!$B$8+AZ207*'Scoring Weights'!$B$9+BB207*'Scoring Weights'!$B$10)/MAX('Scoring Weights'!$B$11,1),1)</f>
        <v>44.2</v>
      </c>
      <c r="C207" s="35" t="str">
        <f aca="false">IF(AND(H207&lt;='Search Criteria'!$B$5,D207&gt;='Search Criteria'!$B$6,AQ207&lt;='Search Criteria'!$B$7,I207&lt;=INDEX('Search Criteria'!$B$18:$B$20,MATCH(E207,'Search Criteria'!$A$18:$A$20,0)),OR(NOT('Search Criteria'!$B$8),L207&lt;&gt;"FWD"),OR(NOT('Search Criteria'!$B$9),T207="Yes"),OR(NOT('Search Criteria'!$B$10),W207&gt;0),OR(NOT('Search Criteria'!$B$11),X207="Yes"),OR(NOT('Search Criteria'!$B$12),O207="GREAT",O207="GOOD"),OR(NOT('Search Criteria'!$B$13),K207="Yes")),"YES","no")</f>
        <v>no</v>
      </c>
      <c r="D207" s="33" t="n">
        <v>2025</v>
      </c>
      <c r="E207" s="8" t="s">
        <v>92</v>
      </c>
      <c r="F207" s="8" t="s">
        <v>236</v>
      </c>
      <c r="G207" s="8" t="s">
        <v>296</v>
      </c>
      <c r="H207" s="45" t="n">
        <v>33999</v>
      </c>
      <c r="I207" s="46" t="n">
        <v>24939</v>
      </c>
      <c r="J207" s="37" t="n">
        <f aca="false">IFERROR(ROUND(I207/MAX(2026-D207,0.5),0),"")</f>
        <v>24939</v>
      </c>
      <c r="K207" s="35" t="s">
        <v>259</v>
      </c>
      <c r="L207" s="35" t="s">
        <v>256</v>
      </c>
      <c r="M207" s="35" t="s">
        <v>257</v>
      </c>
      <c r="N207" s="33" t="n">
        <v>28</v>
      </c>
      <c r="O207" s="35" t="s">
        <v>276</v>
      </c>
      <c r="P207" s="45" t="n">
        <v>35181</v>
      </c>
      <c r="Q207" s="38" t="n">
        <v>0.034</v>
      </c>
      <c r="R207" s="35" t="s">
        <v>277</v>
      </c>
      <c r="S207" s="45"/>
      <c r="T207" s="35" t="s">
        <v>259</v>
      </c>
      <c r="U207" s="33" t="n">
        <v>1</v>
      </c>
      <c r="V207" s="35" t="s">
        <v>259</v>
      </c>
      <c r="W207" s="33" t="n">
        <v>0</v>
      </c>
      <c r="X207" s="35" t="s">
        <v>255</v>
      </c>
      <c r="Y207" s="35" t="s">
        <v>255</v>
      </c>
      <c r="Z207" s="35" t="s">
        <v>259</v>
      </c>
      <c r="AA207" s="35" t="s">
        <v>259</v>
      </c>
      <c r="AB207" s="35" t="s">
        <v>255</v>
      </c>
      <c r="AC207" s="35" t="s">
        <v>259</v>
      </c>
      <c r="AD207" s="35" t="s">
        <v>259</v>
      </c>
      <c r="AE207" s="35" t="s">
        <v>259</v>
      </c>
      <c r="AF207" s="35" t="s">
        <v>259</v>
      </c>
      <c r="AG207" s="35" t="s">
        <v>259</v>
      </c>
      <c r="AH207" s="35" t="s">
        <v>259</v>
      </c>
      <c r="AI207" s="35" t="s">
        <v>255</v>
      </c>
      <c r="AJ207" s="35" t="s">
        <v>259</v>
      </c>
      <c r="AK207" s="8" t="s">
        <v>260</v>
      </c>
      <c r="AL207" s="8" t="s">
        <v>261</v>
      </c>
      <c r="AM207" s="8" t="s">
        <v>278</v>
      </c>
      <c r="AN207" s="8" t="s">
        <v>779</v>
      </c>
      <c r="AO207" s="8" t="s">
        <v>305</v>
      </c>
      <c r="AP207" s="35" t="s">
        <v>265</v>
      </c>
      <c r="AQ207" s="39" t="n">
        <v>59.4</v>
      </c>
      <c r="AR207" s="39" t="n">
        <v>4.6</v>
      </c>
      <c r="AS207" s="33" t="n">
        <v>16</v>
      </c>
      <c r="AT207" s="45"/>
      <c r="AU207" s="45" t="n">
        <v>607.34</v>
      </c>
      <c r="AV207" s="45"/>
      <c r="AW207" s="39" t="n">
        <v>68.8</v>
      </c>
      <c r="AX207" s="39" t="n">
        <v>61.6</v>
      </c>
      <c r="AY207" s="39" t="n">
        <v>52.5</v>
      </c>
      <c r="AZ207" s="39" t="n">
        <v>16</v>
      </c>
      <c r="BA207" s="39" t="n">
        <v>0</v>
      </c>
      <c r="BB207" s="39" t="n">
        <v>20.8</v>
      </c>
      <c r="BC207" s="8" t="s">
        <v>780</v>
      </c>
      <c r="BD207" s="47" t="s">
        <v>290</v>
      </c>
      <c r="BE207" s="41" t="s">
        <v>781</v>
      </c>
    </row>
    <row r="208" customFormat="false" ht="15" hidden="false" customHeight="false" outlineLevel="0" collapsed="false">
      <c r="A208" s="33" t="n">
        <f aca="false">RANK(B208,$B$5:$B$266)</f>
        <v>204</v>
      </c>
      <c r="B208" s="34" t="n">
        <f aca="false">ROUND((AW208*'Scoring Weights'!$B$5+AX208*'Scoring Weights'!$B$6+AY208*'Scoring Weights'!$B$7+BA208*'Scoring Weights'!$B$8+AZ208*'Scoring Weights'!$B$9+BB208*'Scoring Weights'!$B$10)/MAX('Scoring Weights'!$B$11,1),1)</f>
        <v>44.1</v>
      </c>
      <c r="C208" s="35" t="str">
        <f aca="false">IF(AND(H208&lt;='Search Criteria'!$B$5,D208&gt;='Search Criteria'!$B$6,AQ208&lt;='Search Criteria'!$B$7,I208&lt;=INDEX('Search Criteria'!$B$18:$B$20,MATCH(E208,'Search Criteria'!$A$18:$A$20,0)),OR(NOT('Search Criteria'!$B$8),L208&lt;&gt;"FWD"),OR(NOT('Search Criteria'!$B$9),T208="Yes"),OR(NOT('Search Criteria'!$B$10),W208&gt;0),OR(NOT('Search Criteria'!$B$11),X208="Yes"),OR(NOT('Search Criteria'!$B$12),O208="GREAT",O208="GOOD"),OR(NOT('Search Criteria'!$B$13),K208="Yes")),"YES","no")</f>
        <v>no</v>
      </c>
      <c r="D208" s="33" t="n">
        <v>2023</v>
      </c>
      <c r="E208" s="8" t="s">
        <v>95</v>
      </c>
      <c r="F208" s="8" t="s">
        <v>234</v>
      </c>
      <c r="G208" s="8" t="s">
        <v>275</v>
      </c>
      <c r="H208" s="45" t="n">
        <v>26314</v>
      </c>
      <c r="I208" s="46" t="n">
        <v>59742</v>
      </c>
      <c r="J208" s="37" t="n">
        <f aca="false">IFERROR(ROUND(I208/MAX(2026-D208,0.5),0),"")</f>
        <v>19914</v>
      </c>
      <c r="K208" s="35" t="s">
        <v>259</v>
      </c>
      <c r="L208" s="35" t="s">
        <v>256</v>
      </c>
      <c r="M208" s="35" t="s">
        <v>257</v>
      </c>
      <c r="N208" s="33" t="n">
        <v>28</v>
      </c>
      <c r="O208" s="35" t="s">
        <v>276</v>
      </c>
      <c r="P208" s="45" t="n">
        <v>24734</v>
      </c>
      <c r="Q208" s="38" t="n">
        <v>-0.064</v>
      </c>
      <c r="R208" s="35" t="s">
        <v>258</v>
      </c>
      <c r="S208" s="45" t="n">
        <v>380</v>
      </c>
      <c r="T208" s="35" t="s">
        <v>255</v>
      </c>
      <c r="U208" s="33" t="n">
        <v>1</v>
      </c>
      <c r="V208" s="35" t="s">
        <v>259</v>
      </c>
      <c r="W208" s="33" t="n">
        <v>11</v>
      </c>
      <c r="X208" s="35" t="s">
        <v>255</v>
      </c>
      <c r="Y208" s="35" t="s">
        <v>255</v>
      </c>
      <c r="Z208" s="35" t="s">
        <v>259</v>
      </c>
      <c r="AA208" s="35" t="s">
        <v>259</v>
      </c>
      <c r="AB208" s="35" t="s">
        <v>255</v>
      </c>
      <c r="AC208" s="35" t="s">
        <v>255</v>
      </c>
      <c r="AD208" s="35" t="s">
        <v>255</v>
      </c>
      <c r="AE208" s="35" t="s">
        <v>259</v>
      </c>
      <c r="AF208" s="35" t="s">
        <v>259</v>
      </c>
      <c r="AG208" s="35" t="s">
        <v>259</v>
      </c>
      <c r="AH208" s="35" t="s">
        <v>255</v>
      </c>
      <c r="AI208" s="35" t="s">
        <v>255</v>
      </c>
      <c r="AJ208" s="35" t="s">
        <v>255</v>
      </c>
      <c r="AK208" s="8" t="s">
        <v>292</v>
      </c>
      <c r="AL208" s="8" t="s">
        <v>287</v>
      </c>
      <c r="AM208" s="8" t="s">
        <v>278</v>
      </c>
      <c r="AN208" s="8" t="s">
        <v>315</v>
      </c>
      <c r="AO208" s="8" t="s">
        <v>294</v>
      </c>
      <c r="AP208" s="35" t="s">
        <v>272</v>
      </c>
      <c r="AQ208" s="39" t="n">
        <v>41.6</v>
      </c>
      <c r="AR208" s="39" t="n">
        <v>4.6</v>
      </c>
      <c r="AS208" s="33" t="n">
        <v>67</v>
      </c>
      <c r="AT208" s="45"/>
      <c r="AU208" s="45" t="n">
        <v>470.06</v>
      </c>
      <c r="AV208" s="45" t="n">
        <v>314</v>
      </c>
      <c r="AW208" s="39" t="n">
        <v>94.4</v>
      </c>
      <c r="AX208" s="39" t="n">
        <v>47</v>
      </c>
      <c r="AY208" s="39" t="n">
        <v>0</v>
      </c>
      <c r="AZ208" s="39" t="n">
        <v>50</v>
      </c>
      <c r="BA208" s="39" t="n">
        <v>0</v>
      </c>
      <c r="BB208" s="39" t="n">
        <v>44.5</v>
      </c>
      <c r="BC208" s="8" t="s">
        <v>782</v>
      </c>
      <c r="BD208" s="47" t="s">
        <v>632</v>
      </c>
      <c r="BE208" s="41" t="s">
        <v>783</v>
      </c>
    </row>
    <row r="209" customFormat="false" ht="15" hidden="false" customHeight="false" outlineLevel="0" collapsed="false">
      <c r="A209" s="33" t="n">
        <f aca="false">RANK(B209,$B$5:$B$266)</f>
        <v>204</v>
      </c>
      <c r="B209" s="34" t="n">
        <f aca="false">ROUND((AW209*'Scoring Weights'!$B$5+AX209*'Scoring Weights'!$B$6+AY209*'Scoring Weights'!$B$7+BA209*'Scoring Weights'!$B$8+AZ209*'Scoring Weights'!$B$9+BB209*'Scoring Weights'!$B$10)/MAX('Scoring Weights'!$B$11,1),1)</f>
        <v>44.1</v>
      </c>
      <c r="C209" s="35" t="str">
        <f aca="false">IF(AND(H209&lt;='Search Criteria'!$B$5,D209&gt;='Search Criteria'!$B$6,AQ209&lt;='Search Criteria'!$B$7,I209&lt;=INDEX('Search Criteria'!$B$18:$B$20,MATCH(E209,'Search Criteria'!$A$18:$A$20,0)),OR(NOT('Search Criteria'!$B$8),L209&lt;&gt;"FWD"),OR(NOT('Search Criteria'!$B$9),T209="Yes"),OR(NOT('Search Criteria'!$B$10),W209&gt;0),OR(NOT('Search Criteria'!$B$11),X209="Yes"),OR(NOT('Search Criteria'!$B$12),O209="GREAT",O209="GOOD"),OR(NOT('Search Criteria'!$B$13),K209="Yes")),"YES","no")</f>
        <v>no</v>
      </c>
      <c r="D209" s="33" t="n">
        <v>2025</v>
      </c>
      <c r="E209" s="8" t="s">
        <v>92</v>
      </c>
      <c r="F209" s="8" t="s">
        <v>236</v>
      </c>
      <c r="G209" s="8" t="s">
        <v>338</v>
      </c>
      <c r="H209" s="45" t="n">
        <v>29925</v>
      </c>
      <c r="I209" s="46" t="n">
        <v>58235</v>
      </c>
      <c r="J209" s="37" t="n">
        <f aca="false">IFERROR(ROUND(I209/MAX(2026-D209,0.5),0),"")</f>
        <v>58235</v>
      </c>
      <c r="K209" s="35" t="s">
        <v>259</v>
      </c>
      <c r="L209" s="35" t="s">
        <v>256</v>
      </c>
      <c r="M209" s="35" t="s">
        <v>257</v>
      </c>
      <c r="N209" s="33" t="n">
        <v>30</v>
      </c>
      <c r="O209" s="35" t="s">
        <v>297</v>
      </c>
      <c r="P209" s="45" t="n">
        <v>32523</v>
      </c>
      <c r="Q209" s="38" t="n">
        <v>0.08</v>
      </c>
      <c r="R209" s="35" t="s">
        <v>258</v>
      </c>
      <c r="S209" s="45" t="n">
        <v>290</v>
      </c>
      <c r="T209" s="35" t="s">
        <v>255</v>
      </c>
      <c r="U209" s="33" t="n">
        <v>1</v>
      </c>
      <c r="V209" s="35" t="s">
        <v>259</v>
      </c>
      <c r="W209" s="33" t="n">
        <v>3</v>
      </c>
      <c r="X209" s="35" t="s">
        <v>259</v>
      </c>
      <c r="Y209" s="35" t="s">
        <v>255</v>
      </c>
      <c r="Z209" s="35" t="s">
        <v>259</v>
      </c>
      <c r="AA209" s="35" t="s">
        <v>259</v>
      </c>
      <c r="AB209" s="35" t="s">
        <v>259</v>
      </c>
      <c r="AC209" s="35" t="s">
        <v>259</v>
      </c>
      <c r="AD209" s="35" t="s">
        <v>259</v>
      </c>
      <c r="AE209" s="35" t="s">
        <v>259</v>
      </c>
      <c r="AF209" s="35" t="s">
        <v>259</v>
      </c>
      <c r="AG209" s="35" t="s">
        <v>259</v>
      </c>
      <c r="AH209" s="35" t="s">
        <v>259</v>
      </c>
      <c r="AI209" s="35" t="s">
        <v>259</v>
      </c>
      <c r="AJ209" s="35" t="s">
        <v>259</v>
      </c>
      <c r="AK209" s="8" t="s">
        <v>269</v>
      </c>
      <c r="AL209" s="8" t="s">
        <v>261</v>
      </c>
      <c r="AM209" s="8" t="s">
        <v>278</v>
      </c>
      <c r="AN209" s="8" t="s">
        <v>315</v>
      </c>
      <c r="AO209" s="8" t="s">
        <v>294</v>
      </c>
      <c r="AP209" s="35" t="s">
        <v>272</v>
      </c>
      <c r="AQ209" s="39" t="n">
        <v>41.6</v>
      </c>
      <c r="AR209" s="39" t="n">
        <v>4.6</v>
      </c>
      <c r="AS209" s="33" t="n">
        <v>11</v>
      </c>
      <c r="AT209" s="45"/>
      <c r="AU209" s="45" t="n">
        <v>534.57</v>
      </c>
      <c r="AV209" s="45" t="n">
        <v>314</v>
      </c>
      <c r="AW209" s="39" t="n">
        <v>86</v>
      </c>
      <c r="AX209" s="39" t="n">
        <v>64.7</v>
      </c>
      <c r="AY209" s="39" t="n">
        <v>29.2</v>
      </c>
      <c r="AZ209" s="39" t="n">
        <v>0</v>
      </c>
      <c r="BA209" s="39" t="n">
        <v>0</v>
      </c>
      <c r="BB209" s="39" t="n">
        <v>44.5</v>
      </c>
      <c r="BC209" s="8" t="s">
        <v>784</v>
      </c>
      <c r="BD209" s="47" t="s">
        <v>290</v>
      </c>
      <c r="BE209" s="41" t="s">
        <v>785</v>
      </c>
    </row>
    <row r="210" customFormat="false" ht="15" hidden="false" customHeight="false" outlineLevel="0" collapsed="false">
      <c r="A210" s="33" t="n">
        <f aca="false">RANK(B210,$B$5:$B$266)</f>
        <v>204</v>
      </c>
      <c r="B210" s="34" t="n">
        <f aca="false">ROUND((AW210*'Scoring Weights'!$B$5+AX210*'Scoring Weights'!$B$6+AY210*'Scoring Weights'!$B$7+BA210*'Scoring Weights'!$B$8+AZ210*'Scoring Weights'!$B$9+BB210*'Scoring Weights'!$B$10)/MAX('Scoring Weights'!$B$11,1),1)</f>
        <v>44.1</v>
      </c>
      <c r="C210" s="35" t="str">
        <f aca="false">IF(AND(H210&lt;='Search Criteria'!$B$5,D210&gt;='Search Criteria'!$B$6,AQ210&lt;='Search Criteria'!$B$7,I210&lt;=INDEX('Search Criteria'!$B$18:$B$20,MATCH(E210,'Search Criteria'!$A$18:$A$20,0)),OR(NOT('Search Criteria'!$B$8),L210&lt;&gt;"FWD"),OR(NOT('Search Criteria'!$B$9),T210="Yes"),OR(NOT('Search Criteria'!$B$10),W210&gt;0),OR(NOT('Search Criteria'!$B$11),X210="Yes"),OR(NOT('Search Criteria'!$B$12),O210="GREAT",O210="GOOD"),OR(NOT('Search Criteria'!$B$13),K210="Yes")),"YES","no")</f>
        <v>no</v>
      </c>
      <c r="D210" s="33" t="n">
        <v>2024</v>
      </c>
      <c r="E210" s="8" t="s">
        <v>94</v>
      </c>
      <c r="F210" s="8" t="s">
        <v>233</v>
      </c>
      <c r="G210" s="8" t="s">
        <v>319</v>
      </c>
      <c r="H210" s="45" t="n">
        <v>24995</v>
      </c>
      <c r="I210" s="46" t="n">
        <v>40412</v>
      </c>
      <c r="J210" s="37" t="n">
        <f aca="false">IFERROR(ROUND(I210/MAX(2026-D210,0.5),0),"")</f>
        <v>20206</v>
      </c>
      <c r="K210" s="35" t="s">
        <v>259</v>
      </c>
      <c r="L210" s="35" t="s">
        <v>285</v>
      </c>
      <c r="M210" s="35" t="s">
        <v>257</v>
      </c>
      <c r="N210" s="33" t="n">
        <v>28</v>
      </c>
      <c r="O210" s="35" t="s">
        <v>276</v>
      </c>
      <c r="P210" s="45" t="n">
        <v>25838</v>
      </c>
      <c r="Q210" s="38" t="n">
        <v>0.033</v>
      </c>
      <c r="R210" s="35" t="s">
        <v>258</v>
      </c>
      <c r="S210" s="45" t="n">
        <v>450</v>
      </c>
      <c r="T210" s="35" t="s">
        <v>255</v>
      </c>
      <c r="U210" s="33" t="n">
        <v>2</v>
      </c>
      <c r="V210" s="35" t="s">
        <v>259</v>
      </c>
      <c r="W210" s="33" t="n">
        <v>7</v>
      </c>
      <c r="X210" s="35" t="s">
        <v>259</v>
      </c>
      <c r="Y210" s="35" t="s">
        <v>255</v>
      </c>
      <c r="Z210" s="35" t="s">
        <v>259</v>
      </c>
      <c r="AA210" s="35" t="s">
        <v>259</v>
      </c>
      <c r="AB210" s="35" t="s">
        <v>259</v>
      </c>
      <c r="AC210" s="35" t="s">
        <v>259</v>
      </c>
      <c r="AD210" s="35" t="s">
        <v>259</v>
      </c>
      <c r="AE210" s="35" t="s">
        <v>259</v>
      </c>
      <c r="AF210" s="35" t="s">
        <v>259</v>
      </c>
      <c r="AG210" s="35" t="s">
        <v>259</v>
      </c>
      <c r="AH210" s="35" t="s">
        <v>259</v>
      </c>
      <c r="AI210" s="35" t="s">
        <v>259</v>
      </c>
      <c r="AJ210" s="35" t="s">
        <v>259</v>
      </c>
      <c r="AK210" s="8" t="s">
        <v>435</v>
      </c>
      <c r="AL210" s="8" t="s">
        <v>261</v>
      </c>
      <c r="AM210" s="8" t="s">
        <v>303</v>
      </c>
      <c r="AN210" s="8" t="s">
        <v>263</v>
      </c>
      <c r="AO210" s="8" t="s">
        <v>264</v>
      </c>
      <c r="AP210" s="35" t="s">
        <v>265</v>
      </c>
      <c r="AQ210" s="39" t="n">
        <v>0.4</v>
      </c>
      <c r="AR210" s="39" t="n">
        <v>4.6</v>
      </c>
      <c r="AS210" s="33" t="n">
        <v>21</v>
      </c>
      <c r="AT210" s="45"/>
      <c r="AU210" s="45" t="n">
        <v>446.5</v>
      </c>
      <c r="AV210" s="45" t="n">
        <v>261</v>
      </c>
      <c r="AW210" s="39" t="n">
        <v>77.8</v>
      </c>
      <c r="AX210" s="39" t="n">
        <v>61.5</v>
      </c>
      <c r="AY210" s="39" t="n">
        <v>29.6</v>
      </c>
      <c r="AZ210" s="39" t="n">
        <v>0</v>
      </c>
      <c r="BA210" s="39" t="n">
        <v>0</v>
      </c>
      <c r="BB210" s="39" t="n">
        <v>99.4</v>
      </c>
      <c r="BC210" s="8" t="s">
        <v>786</v>
      </c>
      <c r="BD210" s="47" t="s">
        <v>323</v>
      </c>
      <c r="BE210" s="41" t="s">
        <v>787</v>
      </c>
    </row>
    <row r="211" customFormat="false" ht="15" hidden="false" customHeight="false" outlineLevel="0" collapsed="false">
      <c r="A211" s="33" t="n">
        <f aca="false">RANK(B211,$B$5:$B$266)</f>
        <v>207</v>
      </c>
      <c r="B211" s="34" t="n">
        <f aca="false">ROUND((AW211*'Scoring Weights'!$B$5+AX211*'Scoring Weights'!$B$6+AY211*'Scoring Weights'!$B$7+BA211*'Scoring Weights'!$B$8+AZ211*'Scoring Weights'!$B$9+BB211*'Scoring Weights'!$B$10)/MAX('Scoring Weights'!$B$11,1),1)</f>
        <v>44</v>
      </c>
      <c r="C211" s="35" t="str">
        <f aca="false">IF(AND(H211&lt;='Search Criteria'!$B$5,D211&gt;='Search Criteria'!$B$6,AQ211&lt;='Search Criteria'!$B$7,I211&lt;=INDEX('Search Criteria'!$B$18:$B$20,MATCH(E211,'Search Criteria'!$A$18:$A$20,0)),OR(NOT('Search Criteria'!$B$8),L211&lt;&gt;"FWD"),OR(NOT('Search Criteria'!$B$9),T211="Yes"),OR(NOT('Search Criteria'!$B$10),W211&gt;0),OR(NOT('Search Criteria'!$B$11),X211="Yes"),OR(NOT('Search Criteria'!$B$12),O211="GREAT",O211="GOOD"),OR(NOT('Search Criteria'!$B$13),K211="Yes")),"YES","no")</f>
        <v>no</v>
      </c>
      <c r="D211" s="33" t="n">
        <v>2022</v>
      </c>
      <c r="E211" s="8" t="s">
        <v>92</v>
      </c>
      <c r="F211" s="8" t="s">
        <v>236</v>
      </c>
      <c r="G211" s="8" t="s">
        <v>296</v>
      </c>
      <c r="H211" s="45" t="n">
        <v>27309</v>
      </c>
      <c r="I211" s="46" t="n">
        <v>82515</v>
      </c>
      <c r="J211" s="37" t="n">
        <f aca="false">IFERROR(ROUND(I211/MAX(2026-D211,0.5),0),"")</f>
        <v>20629</v>
      </c>
      <c r="K211" s="35" t="s">
        <v>259</v>
      </c>
      <c r="L211" s="35" t="s">
        <v>256</v>
      </c>
      <c r="M211" s="35" t="s">
        <v>302</v>
      </c>
      <c r="N211" s="33" t="n">
        <v>40</v>
      </c>
      <c r="O211" s="35" t="s">
        <v>276</v>
      </c>
      <c r="P211" s="45" t="n">
        <v>27001</v>
      </c>
      <c r="Q211" s="38" t="n">
        <v>-0.011</v>
      </c>
      <c r="R211" s="35" t="s">
        <v>277</v>
      </c>
      <c r="S211" s="45"/>
      <c r="T211" s="35" t="s">
        <v>259</v>
      </c>
      <c r="U211" s="33" t="n">
        <v>1</v>
      </c>
      <c r="V211" s="35" t="s">
        <v>259</v>
      </c>
      <c r="W211" s="33" t="n">
        <v>16</v>
      </c>
      <c r="X211" s="35" t="s">
        <v>255</v>
      </c>
      <c r="Y211" s="35" t="s">
        <v>255</v>
      </c>
      <c r="Z211" s="35" t="s">
        <v>255</v>
      </c>
      <c r="AA211" s="35" t="s">
        <v>255</v>
      </c>
      <c r="AB211" s="35" t="s">
        <v>255</v>
      </c>
      <c r="AC211" s="35" t="s">
        <v>255</v>
      </c>
      <c r="AD211" s="35" t="s">
        <v>259</v>
      </c>
      <c r="AE211" s="35" t="s">
        <v>259</v>
      </c>
      <c r="AF211" s="35" t="s">
        <v>259</v>
      </c>
      <c r="AG211" s="35" t="s">
        <v>259</v>
      </c>
      <c r="AH211" s="35" t="s">
        <v>259</v>
      </c>
      <c r="AI211" s="35" t="s">
        <v>255</v>
      </c>
      <c r="AJ211" s="35" t="s">
        <v>259</v>
      </c>
      <c r="AK211" s="8" t="s">
        <v>269</v>
      </c>
      <c r="AL211" s="8" t="s">
        <v>261</v>
      </c>
      <c r="AM211" s="8" t="s">
        <v>278</v>
      </c>
      <c r="AN211" s="8" t="s">
        <v>505</v>
      </c>
      <c r="AO211" s="8" t="s">
        <v>506</v>
      </c>
      <c r="AP211" s="35" t="s">
        <v>272</v>
      </c>
      <c r="AQ211" s="39" t="n">
        <v>52.7</v>
      </c>
      <c r="AR211" s="39" t="n">
        <v>4.8</v>
      </c>
      <c r="AS211" s="33" t="n">
        <v>115</v>
      </c>
      <c r="AT211" s="45"/>
      <c r="AU211" s="45" t="n">
        <v>487.84</v>
      </c>
      <c r="AV211" s="45" t="n">
        <v>314</v>
      </c>
      <c r="AW211" s="39" t="n">
        <v>80.8</v>
      </c>
      <c r="AX211" s="39" t="n">
        <v>54.9</v>
      </c>
      <c r="AY211" s="39" t="n">
        <v>12.2</v>
      </c>
      <c r="AZ211" s="39" t="n">
        <v>52</v>
      </c>
      <c r="BA211" s="39" t="n">
        <v>0</v>
      </c>
      <c r="BB211" s="39" t="n">
        <v>29.7</v>
      </c>
      <c r="BC211" s="8" t="s">
        <v>788</v>
      </c>
      <c r="BD211" s="47" t="s">
        <v>365</v>
      </c>
      <c r="BE211" s="41" t="s">
        <v>789</v>
      </c>
    </row>
    <row r="212" customFormat="false" ht="15" hidden="false" customHeight="false" outlineLevel="0" collapsed="false">
      <c r="A212" s="33" t="n">
        <f aca="false">RANK(B212,$B$5:$B$266)</f>
        <v>207</v>
      </c>
      <c r="B212" s="34" t="n">
        <f aca="false">ROUND((AW212*'Scoring Weights'!$B$5+AX212*'Scoring Weights'!$B$6+AY212*'Scoring Weights'!$B$7+BA212*'Scoring Weights'!$B$8+AZ212*'Scoring Weights'!$B$9+BB212*'Scoring Weights'!$B$10)/MAX('Scoring Weights'!$B$11,1),1)</f>
        <v>44</v>
      </c>
      <c r="C212" s="35" t="str">
        <f aca="false">IF(AND(H212&lt;='Search Criteria'!$B$5,D212&gt;='Search Criteria'!$B$6,AQ212&lt;='Search Criteria'!$B$7,I212&lt;=INDEX('Search Criteria'!$B$18:$B$20,MATCH(E212,'Search Criteria'!$A$18:$A$20,0)),OR(NOT('Search Criteria'!$B$8),L212&lt;&gt;"FWD"),OR(NOT('Search Criteria'!$B$9),T212="Yes"),OR(NOT('Search Criteria'!$B$10),W212&gt;0),OR(NOT('Search Criteria'!$B$11),X212="Yes"),OR(NOT('Search Criteria'!$B$12),O212="GREAT",O212="GOOD"),OR(NOT('Search Criteria'!$B$13),K212="Yes")),"YES","no")</f>
        <v>no</v>
      </c>
      <c r="D212" s="33" t="n">
        <v>2024</v>
      </c>
      <c r="E212" s="8" t="s">
        <v>94</v>
      </c>
      <c r="F212" s="8" t="s">
        <v>233</v>
      </c>
      <c r="G212" s="8" t="s">
        <v>301</v>
      </c>
      <c r="H212" s="45" t="n">
        <v>25038</v>
      </c>
      <c r="I212" s="46" t="n">
        <v>61279</v>
      </c>
      <c r="J212" s="37" t="n">
        <f aca="false">IFERROR(ROUND(I212/MAX(2026-D212,0.5),0),"")</f>
        <v>30640</v>
      </c>
      <c r="K212" s="35" t="s">
        <v>259</v>
      </c>
      <c r="L212" s="35" t="s">
        <v>285</v>
      </c>
      <c r="M212" s="35" t="s">
        <v>257</v>
      </c>
      <c r="N212" s="33" t="n">
        <v>28</v>
      </c>
      <c r="O212" s="35" t="s">
        <v>276</v>
      </c>
      <c r="P212" s="45" t="n">
        <v>24569</v>
      </c>
      <c r="Q212" s="38" t="n">
        <v>-0.019</v>
      </c>
      <c r="R212" s="35" t="s">
        <v>258</v>
      </c>
      <c r="S212" s="45" t="n">
        <v>550</v>
      </c>
      <c r="T212" s="35" t="s">
        <v>255</v>
      </c>
      <c r="U212" s="33" t="n">
        <v>1</v>
      </c>
      <c r="V212" s="35" t="s">
        <v>255</v>
      </c>
      <c r="W212" s="33" t="n">
        <v>8</v>
      </c>
      <c r="X212" s="35" t="s">
        <v>255</v>
      </c>
      <c r="Y212" s="35" t="s">
        <v>255</v>
      </c>
      <c r="Z212" s="35" t="s">
        <v>259</v>
      </c>
      <c r="AA212" s="35" t="s">
        <v>259</v>
      </c>
      <c r="AB212" s="35" t="s">
        <v>255</v>
      </c>
      <c r="AC212" s="35" t="s">
        <v>259</v>
      </c>
      <c r="AD212" s="35" t="s">
        <v>255</v>
      </c>
      <c r="AE212" s="35" t="s">
        <v>259</v>
      </c>
      <c r="AF212" s="35" t="s">
        <v>255</v>
      </c>
      <c r="AG212" s="35" t="s">
        <v>259</v>
      </c>
      <c r="AH212" s="35" t="s">
        <v>259</v>
      </c>
      <c r="AI212" s="35" t="s">
        <v>259</v>
      </c>
      <c r="AJ212" s="35" t="s">
        <v>259</v>
      </c>
      <c r="AK212" s="8" t="s">
        <v>292</v>
      </c>
      <c r="AL212" s="8" t="s">
        <v>261</v>
      </c>
      <c r="AM212" s="8" t="s">
        <v>303</v>
      </c>
      <c r="AN212" s="8" t="s">
        <v>378</v>
      </c>
      <c r="AO212" s="8" t="s">
        <v>379</v>
      </c>
      <c r="AP212" s="35" t="s">
        <v>265</v>
      </c>
      <c r="AQ212" s="39" t="n">
        <v>46.9</v>
      </c>
      <c r="AR212" s="39" t="n">
        <v>4.7</v>
      </c>
      <c r="AS212" s="33" t="n">
        <v>46</v>
      </c>
      <c r="AT212" s="45" t="n">
        <v>-61</v>
      </c>
      <c r="AU212" s="45" t="n">
        <v>447.27</v>
      </c>
      <c r="AV212" s="45" t="n">
        <v>261</v>
      </c>
      <c r="AW212" s="39" t="n">
        <v>93.4</v>
      </c>
      <c r="AX212" s="39" t="n">
        <v>53.7</v>
      </c>
      <c r="AY212" s="39" t="n">
        <v>8.7</v>
      </c>
      <c r="AZ212" s="39" t="n">
        <v>32</v>
      </c>
      <c r="BA212" s="39" t="n">
        <v>0</v>
      </c>
      <c r="BB212" s="39" t="n">
        <v>37.5</v>
      </c>
      <c r="BC212" s="8" t="s">
        <v>790</v>
      </c>
      <c r="BD212" s="47" t="s">
        <v>323</v>
      </c>
      <c r="BE212" s="41" t="s">
        <v>791</v>
      </c>
    </row>
    <row r="213" customFormat="false" ht="15" hidden="false" customHeight="false" outlineLevel="0" collapsed="false">
      <c r="A213" s="33" t="n">
        <f aca="false">RANK(B213,$B$5:$B$266)</f>
        <v>207</v>
      </c>
      <c r="B213" s="34" t="n">
        <f aca="false">ROUND((AW213*'Scoring Weights'!$B$5+AX213*'Scoring Weights'!$B$6+AY213*'Scoring Weights'!$B$7+BA213*'Scoring Weights'!$B$8+AZ213*'Scoring Weights'!$B$9+BB213*'Scoring Weights'!$B$10)/MAX('Scoring Weights'!$B$11,1),1)</f>
        <v>44</v>
      </c>
      <c r="C213" s="35" t="str">
        <f aca="false">IF(AND(H213&lt;='Search Criteria'!$B$5,D213&gt;='Search Criteria'!$B$6,AQ213&lt;='Search Criteria'!$B$7,I213&lt;=INDEX('Search Criteria'!$B$18:$B$20,MATCH(E213,'Search Criteria'!$A$18:$A$20,0)),OR(NOT('Search Criteria'!$B$8),L213&lt;&gt;"FWD"),OR(NOT('Search Criteria'!$B$9),T213="Yes"),OR(NOT('Search Criteria'!$B$10),W213&gt;0),OR(NOT('Search Criteria'!$B$11),X213="Yes"),OR(NOT('Search Criteria'!$B$12),O213="GREAT",O213="GOOD"),OR(NOT('Search Criteria'!$B$13),K213="Yes")),"YES","no")</f>
        <v>no</v>
      </c>
      <c r="D213" s="33" t="n">
        <v>2025</v>
      </c>
      <c r="E213" s="8" t="s">
        <v>92</v>
      </c>
      <c r="F213" s="8" t="s">
        <v>236</v>
      </c>
      <c r="G213" s="8" t="s">
        <v>296</v>
      </c>
      <c r="H213" s="45" t="n">
        <v>35250</v>
      </c>
      <c r="I213" s="46" t="n">
        <v>24570</v>
      </c>
      <c r="J213" s="37" t="n">
        <f aca="false">IFERROR(ROUND(I213/MAX(2026-D213,0.5),0),"")</f>
        <v>24570</v>
      </c>
      <c r="K213" s="35" t="s">
        <v>259</v>
      </c>
      <c r="L213" s="35" t="s">
        <v>256</v>
      </c>
      <c r="M213" s="35" t="s">
        <v>257</v>
      </c>
      <c r="N213" s="33" t="n">
        <v>28</v>
      </c>
      <c r="O213" s="35" t="s">
        <v>276</v>
      </c>
      <c r="P213" s="45" t="n">
        <v>35210</v>
      </c>
      <c r="Q213" s="38" t="n">
        <v>-0.001</v>
      </c>
      <c r="R213" s="35" t="s">
        <v>258</v>
      </c>
      <c r="S213" s="45" t="n">
        <v>320</v>
      </c>
      <c r="T213" s="35" t="s">
        <v>259</v>
      </c>
      <c r="U213" s="33" t="n">
        <v>1</v>
      </c>
      <c r="V213" s="35" t="s">
        <v>259</v>
      </c>
      <c r="W213" s="33" t="n">
        <v>3</v>
      </c>
      <c r="X213" s="35" t="s">
        <v>259</v>
      </c>
      <c r="Y213" s="35" t="s">
        <v>255</v>
      </c>
      <c r="Z213" s="35" t="s">
        <v>259</v>
      </c>
      <c r="AA213" s="35" t="s">
        <v>259</v>
      </c>
      <c r="AB213" s="35" t="s">
        <v>255</v>
      </c>
      <c r="AC213" s="35" t="s">
        <v>259</v>
      </c>
      <c r="AD213" s="35" t="s">
        <v>259</v>
      </c>
      <c r="AE213" s="35" t="s">
        <v>259</v>
      </c>
      <c r="AF213" s="35" t="s">
        <v>259</v>
      </c>
      <c r="AG213" s="35" t="s">
        <v>259</v>
      </c>
      <c r="AH213" s="35" t="s">
        <v>259</v>
      </c>
      <c r="AI213" s="35" t="s">
        <v>255</v>
      </c>
      <c r="AJ213" s="35" t="s">
        <v>259</v>
      </c>
      <c r="AK213" s="8" t="s">
        <v>260</v>
      </c>
      <c r="AL213" s="8" t="s">
        <v>261</v>
      </c>
      <c r="AM213" s="8" t="s">
        <v>278</v>
      </c>
      <c r="AN213" s="8" t="s">
        <v>339</v>
      </c>
      <c r="AO213" s="8" t="s">
        <v>340</v>
      </c>
      <c r="AP213" s="35" t="s">
        <v>265</v>
      </c>
      <c r="AQ213" s="39" t="n">
        <v>59.9</v>
      </c>
      <c r="AR213" s="39" t="n">
        <v>4.5</v>
      </c>
      <c r="AS213" s="33" t="n">
        <v>96</v>
      </c>
      <c r="AT213" s="45"/>
      <c r="AU213" s="45" t="n">
        <v>629.69</v>
      </c>
      <c r="AV213" s="45" t="n">
        <v>262</v>
      </c>
      <c r="AW213" s="39" t="n">
        <v>72.4</v>
      </c>
      <c r="AX213" s="39" t="n">
        <v>56.4</v>
      </c>
      <c r="AY213" s="39" t="n">
        <v>52.8</v>
      </c>
      <c r="AZ213" s="39" t="n">
        <v>16</v>
      </c>
      <c r="BA213" s="39" t="n">
        <v>0</v>
      </c>
      <c r="BB213" s="39" t="n">
        <v>20.2</v>
      </c>
      <c r="BC213" s="8" t="s">
        <v>792</v>
      </c>
      <c r="BD213" s="47" t="s">
        <v>290</v>
      </c>
      <c r="BE213" s="41" t="s">
        <v>793</v>
      </c>
    </row>
    <row r="214" customFormat="false" ht="15" hidden="false" customHeight="false" outlineLevel="0" collapsed="false">
      <c r="A214" s="33" t="n">
        <f aca="false">RANK(B214,$B$5:$B$266)</f>
        <v>207</v>
      </c>
      <c r="B214" s="34" t="n">
        <f aca="false">ROUND((AW214*'Scoring Weights'!$B$5+AX214*'Scoring Weights'!$B$6+AY214*'Scoring Weights'!$B$7+BA214*'Scoring Weights'!$B$8+AZ214*'Scoring Weights'!$B$9+BB214*'Scoring Weights'!$B$10)/MAX('Scoring Weights'!$B$11,1),1)</f>
        <v>44</v>
      </c>
      <c r="C214" s="35" t="str">
        <f aca="false">IF(AND(H214&lt;='Search Criteria'!$B$5,D214&gt;='Search Criteria'!$B$6,AQ214&lt;='Search Criteria'!$B$7,I214&lt;=INDEX('Search Criteria'!$B$18:$B$20,MATCH(E214,'Search Criteria'!$A$18:$A$20,0)),OR(NOT('Search Criteria'!$B$8),L214&lt;&gt;"FWD"),OR(NOT('Search Criteria'!$B$9),T214="Yes"),OR(NOT('Search Criteria'!$B$10),W214&gt;0),OR(NOT('Search Criteria'!$B$11),X214="Yes"),OR(NOT('Search Criteria'!$B$12),O214="GREAT",O214="GOOD"),OR(NOT('Search Criteria'!$B$13),K214="Yes")),"YES","no")</f>
        <v>no</v>
      </c>
      <c r="D214" s="33" t="n">
        <v>2024</v>
      </c>
      <c r="E214" s="8" t="s">
        <v>92</v>
      </c>
      <c r="F214" s="8" t="s">
        <v>236</v>
      </c>
      <c r="G214" s="8" t="s">
        <v>296</v>
      </c>
      <c r="H214" s="45" t="n">
        <v>30969</v>
      </c>
      <c r="I214" s="46" t="n">
        <v>60378</v>
      </c>
      <c r="J214" s="37" t="n">
        <f aca="false">IFERROR(ROUND(I214/MAX(2026-D214,0.5),0),"")</f>
        <v>30189</v>
      </c>
      <c r="K214" s="35" t="s">
        <v>259</v>
      </c>
      <c r="L214" s="35" t="s">
        <v>256</v>
      </c>
      <c r="M214" s="35" t="s">
        <v>257</v>
      </c>
      <c r="N214" s="33" t="n">
        <v>28</v>
      </c>
      <c r="O214" s="35" t="s">
        <v>276</v>
      </c>
      <c r="P214" s="45" t="n">
        <v>31157</v>
      </c>
      <c r="Q214" s="38" t="n">
        <v>0.006</v>
      </c>
      <c r="R214" s="35" t="s">
        <v>258</v>
      </c>
      <c r="S214" s="45" t="n">
        <v>310</v>
      </c>
      <c r="T214" s="35" t="s">
        <v>259</v>
      </c>
      <c r="U214" s="33" t="n">
        <v>1</v>
      </c>
      <c r="V214" s="35" t="s">
        <v>259</v>
      </c>
      <c r="W214" s="33" t="n">
        <v>1</v>
      </c>
      <c r="X214" s="35" t="s">
        <v>255</v>
      </c>
      <c r="Y214" s="35" t="s">
        <v>255</v>
      </c>
      <c r="Z214" s="35" t="s">
        <v>255</v>
      </c>
      <c r="AA214" s="35" t="s">
        <v>259</v>
      </c>
      <c r="AB214" s="35" t="s">
        <v>255</v>
      </c>
      <c r="AC214" s="35" t="s">
        <v>259</v>
      </c>
      <c r="AD214" s="35" t="s">
        <v>259</v>
      </c>
      <c r="AE214" s="35" t="s">
        <v>259</v>
      </c>
      <c r="AF214" s="35" t="s">
        <v>259</v>
      </c>
      <c r="AG214" s="35" t="s">
        <v>259</v>
      </c>
      <c r="AH214" s="35" t="s">
        <v>259</v>
      </c>
      <c r="AI214" s="35" t="s">
        <v>255</v>
      </c>
      <c r="AJ214" s="35" t="s">
        <v>259</v>
      </c>
      <c r="AK214" s="8" t="s">
        <v>358</v>
      </c>
      <c r="AL214" s="8" t="s">
        <v>261</v>
      </c>
      <c r="AM214" s="8" t="s">
        <v>278</v>
      </c>
      <c r="AN214" s="8" t="s">
        <v>362</v>
      </c>
      <c r="AO214" s="8" t="s">
        <v>363</v>
      </c>
      <c r="AP214" s="35" t="s">
        <v>265</v>
      </c>
      <c r="AQ214" s="39" t="n">
        <v>7.6</v>
      </c>
      <c r="AR214" s="39" t="n">
        <v>4.7</v>
      </c>
      <c r="AS214" s="33" t="n">
        <v>53</v>
      </c>
      <c r="AT214" s="45" t="n">
        <v>1412</v>
      </c>
      <c r="AU214" s="45" t="n">
        <v>553.22</v>
      </c>
      <c r="AV214" s="45" t="n">
        <v>250</v>
      </c>
      <c r="AW214" s="39" t="n">
        <v>70</v>
      </c>
      <c r="AX214" s="39" t="n">
        <v>57.5</v>
      </c>
      <c r="AY214" s="39" t="n">
        <v>27.7</v>
      </c>
      <c r="AZ214" s="39" t="n">
        <v>26</v>
      </c>
      <c r="BA214" s="39" t="n">
        <v>0</v>
      </c>
      <c r="BB214" s="39" t="n">
        <v>89.9</v>
      </c>
      <c r="BC214" s="8" t="s">
        <v>794</v>
      </c>
      <c r="BD214" s="47" t="s">
        <v>346</v>
      </c>
      <c r="BE214" s="41" t="s">
        <v>795</v>
      </c>
    </row>
    <row r="215" customFormat="false" ht="15" hidden="false" customHeight="false" outlineLevel="0" collapsed="false">
      <c r="A215" s="33" t="n">
        <f aca="false">RANK(B215,$B$5:$B$266)</f>
        <v>207</v>
      </c>
      <c r="B215" s="34" t="n">
        <f aca="false">ROUND((AW215*'Scoring Weights'!$B$5+AX215*'Scoring Weights'!$B$6+AY215*'Scoring Weights'!$B$7+BA215*'Scoring Weights'!$B$8+AZ215*'Scoring Weights'!$B$9+BB215*'Scoring Weights'!$B$10)/MAX('Scoring Weights'!$B$11,1),1)</f>
        <v>44</v>
      </c>
      <c r="C215" s="35" t="str">
        <f aca="false">IF(AND(H215&lt;='Search Criteria'!$B$5,D215&gt;='Search Criteria'!$B$6,AQ215&lt;='Search Criteria'!$B$7,I215&lt;=INDEX('Search Criteria'!$B$18:$B$20,MATCH(E215,'Search Criteria'!$A$18:$A$20,0)),OR(NOT('Search Criteria'!$B$8),L215&lt;&gt;"FWD"),OR(NOT('Search Criteria'!$B$9),T215="Yes"),OR(NOT('Search Criteria'!$B$10),W215&gt;0),OR(NOT('Search Criteria'!$B$11),X215="Yes"),OR(NOT('Search Criteria'!$B$12),O215="GREAT",O215="GOOD"),OR(NOT('Search Criteria'!$B$13),K215="Yes")),"YES","no")</f>
        <v>no</v>
      </c>
      <c r="D215" s="33" t="n">
        <v>2024</v>
      </c>
      <c r="E215" s="8" t="s">
        <v>95</v>
      </c>
      <c r="F215" s="8" t="s">
        <v>234</v>
      </c>
      <c r="G215" s="8" t="s">
        <v>407</v>
      </c>
      <c r="H215" s="45" t="n">
        <v>24994</v>
      </c>
      <c r="I215" s="46" t="n">
        <v>72653</v>
      </c>
      <c r="J215" s="37" t="n">
        <f aca="false">IFERROR(ROUND(I215/MAX(2026-D215,0.5),0),"")</f>
        <v>36327</v>
      </c>
      <c r="K215" s="35" t="s">
        <v>259</v>
      </c>
      <c r="L215" s="35" t="s">
        <v>256</v>
      </c>
      <c r="M215" s="35" t="s">
        <v>257</v>
      </c>
      <c r="N215" s="33" t="n">
        <v>28</v>
      </c>
      <c r="O215" s="35" t="s">
        <v>276</v>
      </c>
      <c r="P215" s="45" t="n">
        <v>25028</v>
      </c>
      <c r="Q215" s="38" t="n">
        <v>0.001</v>
      </c>
      <c r="R215" s="35" t="s">
        <v>258</v>
      </c>
      <c r="S215" s="45" t="n">
        <v>310</v>
      </c>
      <c r="T215" s="35" t="s">
        <v>259</v>
      </c>
      <c r="U215" s="33" t="n">
        <v>1</v>
      </c>
      <c r="V215" s="35" t="s">
        <v>259</v>
      </c>
      <c r="W215" s="33" t="n">
        <v>16</v>
      </c>
      <c r="X215" s="35" t="s">
        <v>255</v>
      </c>
      <c r="Y215" s="35" t="s">
        <v>255</v>
      </c>
      <c r="Z215" s="35" t="s">
        <v>259</v>
      </c>
      <c r="AA215" s="35" t="s">
        <v>255</v>
      </c>
      <c r="AB215" s="35" t="s">
        <v>255</v>
      </c>
      <c r="AC215" s="35" t="s">
        <v>255</v>
      </c>
      <c r="AD215" s="35" t="s">
        <v>255</v>
      </c>
      <c r="AE215" s="35" t="s">
        <v>259</v>
      </c>
      <c r="AF215" s="35" t="s">
        <v>255</v>
      </c>
      <c r="AG215" s="35" t="s">
        <v>259</v>
      </c>
      <c r="AH215" s="35" t="s">
        <v>259</v>
      </c>
      <c r="AI215" s="35" t="s">
        <v>255</v>
      </c>
      <c r="AJ215" s="35" t="s">
        <v>259</v>
      </c>
      <c r="AK215" s="8" t="s">
        <v>292</v>
      </c>
      <c r="AL215" s="8" t="s">
        <v>261</v>
      </c>
      <c r="AM215" s="8" t="s">
        <v>278</v>
      </c>
      <c r="AN215" s="8" t="s">
        <v>796</v>
      </c>
      <c r="AO215" s="8" t="s">
        <v>797</v>
      </c>
      <c r="AP215" s="35" t="s">
        <v>272</v>
      </c>
      <c r="AQ215" s="39" t="n">
        <v>48.2</v>
      </c>
      <c r="AR215" s="39" t="n">
        <v>4.8</v>
      </c>
      <c r="AS215" s="33" t="n">
        <v>176</v>
      </c>
      <c r="AT215" s="45"/>
      <c r="AU215" s="45" t="n">
        <v>446.48</v>
      </c>
      <c r="AV215" s="45"/>
      <c r="AW215" s="39" t="n">
        <v>80.8</v>
      </c>
      <c r="AX215" s="39" t="n">
        <v>56.8</v>
      </c>
      <c r="AY215" s="39" t="n">
        <v>0</v>
      </c>
      <c r="AZ215" s="39" t="n">
        <v>62</v>
      </c>
      <c r="BA215" s="39" t="n">
        <v>0</v>
      </c>
      <c r="BB215" s="39" t="n">
        <v>35.7</v>
      </c>
      <c r="BC215" s="8" t="s">
        <v>798</v>
      </c>
      <c r="BD215" s="47" t="s">
        <v>423</v>
      </c>
      <c r="BE215" s="41" t="s">
        <v>799</v>
      </c>
    </row>
    <row r="216" customFormat="false" ht="15" hidden="false" customHeight="false" outlineLevel="0" collapsed="false">
      <c r="A216" s="33" t="n">
        <f aca="false">RANK(B216,$B$5:$B$266)</f>
        <v>212</v>
      </c>
      <c r="B216" s="34" t="n">
        <f aca="false">ROUND((AW216*'Scoring Weights'!$B$5+AX216*'Scoring Weights'!$B$6+AY216*'Scoring Weights'!$B$7+BA216*'Scoring Weights'!$B$8+AZ216*'Scoring Weights'!$B$9+BB216*'Scoring Weights'!$B$10)/MAX('Scoring Weights'!$B$11,1),1)</f>
        <v>43.8</v>
      </c>
      <c r="C216" s="35" t="str">
        <f aca="false">IF(AND(H216&lt;='Search Criteria'!$B$5,D216&gt;='Search Criteria'!$B$6,AQ216&lt;='Search Criteria'!$B$7,I216&lt;=INDEX('Search Criteria'!$B$18:$B$20,MATCH(E216,'Search Criteria'!$A$18:$A$20,0)),OR(NOT('Search Criteria'!$B$8),L216&lt;&gt;"FWD"),OR(NOT('Search Criteria'!$B$9),T216="Yes"),OR(NOT('Search Criteria'!$B$10),W216&gt;0),OR(NOT('Search Criteria'!$B$11),X216="Yes"),OR(NOT('Search Criteria'!$B$12),O216="GREAT",O216="GOOD"),OR(NOT('Search Criteria'!$B$13),K216="Yes")),"YES","no")</f>
        <v>no</v>
      </c>
      <c r="D216" s="33" t="n">
        <v>2023</v>
      </c>
      <c r="E216" s="8" t="s">
        <v>94</v>
      </c>
      <c r="F216" s="8" t="s">
        <v>233</v>
      </c>
      <c r="G216" s="8" t="s">
        <v>301</v>
      </c>
      <c r="H216" s="45" t="n">
        <v>22144</v>
      </c>
      <c r="I216" s="46" t="n">
        <v>82637</v>
      </c>
      <c r="J216" s="37" t="n">
        <f aca="false">IFERROR(ROUND(I216/MAX(2026-D216,0.5),0),"")</f>
        <v>27546</v>
      </c>
      <c r="K216" s="35" t="s">
        <v>259</v>
      </c>
      <c r="L216" s="35" t="s">
        <v>256</v>
      </c>
      <c r="M216" s="35" t="s">
        <v>257</v>
      </c>
      <c r="N216" s="33" t="n">
        <v>27</v>
      </c>
      <c r="O216" s="35" t="s">
        <v>286</v>
      </c>
      <c r="P216" s="45" t="n">
        <v>23158</v>
      </c>
      <c r="Q216" s="38" t="n">
        <v>0.044</v>
      </c>
      <c r="R216" s="35" t="s">
        <v>258</v>
      </c>
      <c r="S216" s="45" t="n">
        <v>500</v>
      </c>
      <c r="T216" s="35" t="s">
        <v>255</v>
      </c>
      <c r="U216" s="33" t="n">
        <v>1</v>
      </c>
      <c r="V216" s="35" t="s">
        <v>255</v>
      </c>
      <c r="W216" s="33" t="n">
        <v>9</v>
      </c>
      <c r="X216" s="35" t="s">
        <v>255</v>
      </c>
      <c r="Y216" s="35" t="s">
        <v>255</v>
      </c>
      <c r="Z216" s="35" t="s">
        <v>259</v>
      </c>
      <c r="AA216" s="35" t="s">
        <v>259</v>
      </c>
      <c r="AB216" s="35" t="s">
        <v>255</v>
      </c>
      <c r="AC216" s="35" t="s">
        <v>259</v>
      </c>
      <c r="AD216" s="35" t="s">
        <v>255</v>
      </c>
      <c r="AE216" s="35" t="s">
        <v>259</v>
      </c>
      <c r="AF216" s="35" t="s">
        <v>259</v>
      </c>
      <c r="AG216" s="35" t="s">
        <v>259</v>
      </c>
      <c r="AH216" s="35" t="s">
        <v>259</v>
      </c>
      <c r="AI216" s="35" t="s">
        <v>259</v>
      </c>
      <c r="AJ216" s="35" t="s">
        <v>259</v>
      </c>
      <c r="AK216" s="8" t="s">
        <v>260</v>
      </c>
      <c r="AL216" s="8" t="s">
        <v>261</v>
      </c>
      <c r="AM216" s="8" t="s">
        <v>303</v>
      </c>
      <c r="AN216" s="8" t="s">
        <v>800</v>
      </c>
      <c r="AO216" s="8" t="s">
        <v>801</v>
      </c>
      <c r="AP216" s="35" t="s">
        <v>265</v>
      </c>
      <c r="AQ216" s="39" t="n">
        <v>74.4</v>
      </c>
      <c r="AR216" s="39"/>
      <c r="AS216" s="33" t="n">
        <v>27</v>
      </c>
      <c r="AT216" s="45" t="n">
        <v>-149</v>
      </c>
      <c r="AU216" s="45" t="n">
        <v>395.57</v>
      </c>
      <c r="AV216" s="45" t="n">
        <v>149</v>
      </c>
      <c r="AW216" s="39" t="n">
        <v>94.6</v>
      </c>
      <c r="AX216" s="39" t="n">
        <v>72</v>
      </c>
      <c r="AY216" s="39" t="n">
        <v>0</v>
      </c>
      <c r="AZ216" s="39" t="n">
        <v>24</v>
      </c>
      <c r="BA216" s="39" t="n">
        <v>0</v>
      </c>
      <c r="BB216" s="39" t="n">
        <v>0.7</v>
      </c>
      <c r="BC216" s="8" t="s">
        <v>802</v>
      </c>
      <c r="BD216" s="47" t="s">
        <v>317</v>
      </c>
      <c r="BE216" s="41" t="s">
        <v>803</v>
      </c>
    </row>
    <row r="217" customFormat="false" ht="15" hidden="false" customHeight="false" outlineLevel="0" collapsed="false">
      <c r="A217" s="33" t="n">
        <f aca="false">RANK(B217,$B$5:$B$266)</f>
        <v>212</v>
      </c>
      <c r="B217" s="34" t="n">
        <f aca="false">ROUND((AW217*'Scoring Weights'!$B$5+AX217*'Scoring Weights'!$B$6+AY217*'Scoring Weights'!$B$7+BA217*'Scoring Weights'!$B$8+AZ217*'Scoring Weights'!$B$9+BB217*'Scoring Weights'!$B$10)/MAX('Scoring Weights'!$B$11,1),1)</f>
        <v>43.8</v>
      </c>
      <c r="C217" s="35" t="str">
        <f aca="false">IF(AND(H217&lt;='Search Criteria'!$B$5,D217&gt;='Search Criteria'!$B$6,AQ217&lt;='Search Criteria'!$B$7,I217&lt;=INDEX('Search Criteria'!$B$18:$B$20,MATCH(E217,'Search Criteria'!$A$18:$A$20,0)),OR(NOT('Search Criteria'!$B$8),L217&lt;&gt;"FWD"),OR(NOT('Search Criteria'!$B$9),T217="Yes"),OR(NOT('Search Criteria'!$B$10),W217&gt;0),OR(NOT('Search Criteria'!$B$11),X217="Yes"),OR(NOT('Search Criteria'!$B$12),O217="GREAT",O217="GOOD"),OR(NOT('Search Criteria'!$B$13),K217="Yes")),"YES","no")</f>
        <v>no</v>
      </c>
      <c r="D217" s="33" t="n">
        <v>2024</v>
      </c>
      <c r="E217" s="8" t="s">
        <v>92</v>
      </c>
      <c r="F217" s="8" t="s">
        <v>236</v>
      </c>
      <c r="G217" s="8" t="s">
        <v>296</v>
      </c>
      <c r="H217" s="45" t="n">
        <v>30775</v>
      </c>
      <c r="I217" s="46" t="n">
        <v>63913</v>
      </c>
      <c r="J217" s="37" t="n">
        <f aca="false">IFERROR(ROUND(I217/MAX(2026-D217,0.5),0),"")</f>
        <v>31957</v>
      </c>
      <c r="K217" s="35" t="s">
        <v>259</v>
      </c>
      <c r="L217" s="35" t="s">
        <v>256</v>
      </c>
      <c r="M217" s="35" t="s">
        <v>257</v>
      </c>
      <c r="N217" s="33" t="n">
        <v>28</v>
      </c>
      <c r="O217" s="35" t="s">
        <v>276</v>
      </c>
      <c r="P217" s="45" t="n">
        <v>30875</v>
      </c>
      <c r="Q217" s="38" t="n">
        <v>0.003</v>
      </c>
      <c r="R217" s="35" t="s">
        <v>258</v>
      </c>
      <c r="S217" s="45" t="n">
        <v>610</v>
      </c>
      <c r="T217" s="35" t="s">
        <v>259</v>
      </c>
      <c r="U217" s="33" t="n">
        <v>1</v>
      </c>
      <c r="V217" s="35" t="s">
        <v>259</v>
      </c>
      <c r="W217" s="33" t="n">
        <v>4</v>
      </c>
      <c r="X217" s="35" t="s">
        <v>255</v>
      </c>
      <c r="Y217" s="35" t="s">
        <v>255</v>
      </c>
      <c r="Z217" s="35" t="s">
        <v>255</v>
      </c>
      <c r="AA217" s="35" t="s">
        <v>259</v>
      </c>
      <c r="AB217" s="35" t="s">
        <v>255</v>
      </c>
      <c r="AC217" s="35" t="s">
        <v>259</v>
      </c>
      <c r="AD217" s="35" t="s">
        <v>259</v>
      </c>
      <c r="AE217" s="35" t="s">
        <v>259</v>
      </c>
      <c r="AF217" s="35" t="s">
        <v>259</v>
      </c>
      <c r="AG217" s="35" t="s">
        <v>259</v>
      </c>
      <c r="AH217" s="35" t="s">
        <v>259</v>
      </c>
      <c r="AI217" s="35" t="s">
        <v>255</v>
      </c>
      <c r="AJ217" s="35" t="s">
        <v>259</v>
      </c>
      <c r="AK217" s="8" t="s">
        <v>269</v>
      </c>
      <c r="AL217" s="8" t="s">
        <v>261</v>
      </c>
      <c r="AM217" s="8" t="s">
        <v>278</v>
      </c>
      <c r="AN217" s="8" t="s">
        <v>731</v>
      </c>
      <c r="AO217" s="8" t="s">
        <v>264</v>
      </c>
      <c r="AP217" s="35" t="s">
        <v>265</v>
      </c>
      <c r="AQ217" s="39" t="n">
        <v>0.3</v>
      </c>
      <c r="AR217" s="39" t="n">
        <v>4.7</v>
      </c>
      <c r="AS217" s="33" t="n">
        <v>53</v>
      </c>
      <c r="AT217" s="45"/>
      <c r="AU217" s="45" t="n">
        <v>549.75</v>
      </c>
      <c r="AV217" s="45"/>
      <c r="AW217" s="39" t="n">
        <v>69.4</v>
      </c>
      <c r="AX217" s="39" t="n">
        <v>57.1</v>
      </c>
      <c r="AY217" s="39" t="n">
        <v>25.3</v>
      </c>
      <c r="AZ217" s="39" t="n">
        <v>26</v>
      </c>
      <c r="BA217" s="39" t="n">
        <v>0</v>
      </c>
      <c r="BB217" s="39" t="n">
        <v>99.5</v>
      </c>
      <c r="BC217" s="8" t="s">
        <v>804</v>
      </c>
      <c r="BD217" s="47" t="s">
        <v>346</v>
      </c>
      <c r="BE217" s="41" t="s">
        <v>805</v>
      </c>
    </row>
    <row r="218" customFormat="false" ht="15" hidden="false" customHeight="false" outlineLevel="0" collapsed="false">
      <c r="A218" s="33" t="n">
        <f aca="false">RANK(B218,$B$5:$B$266)</f>
        <v>212</v>
      </c>
      <c r="B218" s="34" t="n">
        <f aca="false">ROUND((AW218*'Scoring Weights'!$B$5+AX218*'Scoring Weights'!$B$6+AY218*'Scoring Weights'!$B$7+BA218*'Scoring Weights'!$B$8+AZ218*'Scoring Weights'!$B$9+BB218*'Scoring Weights'!$B$10)/MAX('Scoring Weights'!$B$11,1),1)</f>
        <v>43.8</v>
      </c>
      <c r="C218" s="35" t="str">
        <f aca="false">IF(AND(H218&lt;='Search Criteria'!$B$5,D218&gt;='Search Criteria'!$B$6,AQ218&lt;='Search Criteria'!$B$7,I218&lt;=INDEX('Search Criteria'!$B$18:$B$20,MATCH(E218,'Search Criteria'!$A$18:$A$20,0)),OR(NOT('Search Criteria'!$B$8),L218&lt;&gt;"FWD"),OR(NOT('Search Criteria'!$B$9),T218="Yes"),OR(NOT('Search Criteria'!$B$10),W218&gt;0),OR(NOT('Search Criteria'!$B$11),X218="Yes"),OR(NOT('Search Criteria'!$B$12),O218="GREAT",O218="GOOD"),OR(NOT('Search Criteria'!$B$13),K218="Yes")),"YES","no")</f>
        <v>no</v>
      </c>
      <c r="D218" s="33" t="n">
        <v>2025</v>
      </c>
      <c r="E218" s="8" t="s">
        <v>92</v>
      </c>
      <c r="F218" s="8" t="s">
        <v>236</v>
      </c>
      <c r="G218" s="8" t="s">
        <v>296</v>
      </c>
      <c r="H218" s="45" t="n">
        <v>35028</v>
      </c>
      <c r="I218" s="46" t="n">
        <v>48202</v>
      </c>
      <c r="J218" s="37" t="n">
        <f aca="false">IFERROR(ROUND(I218/MAX(2026-D218,0.5),0),"")</f>
        <v>48202</v>
      </c>
      <c r="K218" s="35" t="s">
        <v>259</v>
      </c>
      <c r="L218" s="35" t="s">
        <v>256</v>
      </c>
      <c r="M218" s="35" t="s">
        <v>302</v>
      </c>
      <c r="N218" s="33" t="n">
        <v>39</v>
      </c>
      <c r="O218" s="35" t="s">
        <v>276</v>
      </c>
      <c r="P218" s="45" t="n">
        <v>33323</v>
      </c>
      <c r="Q218" s="38" t="n">
        <v>-0.051</v>
      </c>
      <c r="R218" s="35" t="s">
        <v>258</v>
      </c>
      <c r="S218" s="45" t="n">
        <v>640</v>
      </c>
      <c r="T218" s="35" t="s">
        <v>255</v>
      </c>
      <c r="U218" s="33" t="n">
        <v>1</v>
      </c>
      <c r="V218" s="35" t="s">
        <v>259</v>
      </c>
      <c r="W218" s="33" t="n">
        <v>2</v>
      </c>
      <c r="X218" s="35" t="s">
        <v>259</v>
      </c>
      <c r="Y218" s="35" t="s">
        <v>255</v>
      </c>
      <c r="Z218" s="35" t="s">
        <v>259</v>
      </c>
      <c r="AA218" s="35" t="s">
        <v>259</v>
      </c>
      <c r="AB218" s="35" t="s">
        <v>255</v>
      </c>
      <c r="AC218" s="35" t="s">
        <v>259</v>
      </c>
      <c r="AD218" s="35" t="s">
        <v>259</v>
      </c>
      <c r="AE218" s="35" t="s">
        <v>259</v>
      </c>
      <c r="AF218" s="35" t="s">
        <v>259</v>
      </c>
      <c r="AG218" s="35" t="s">
        <v>259</v>
      </c>
      <c r="AH218" s="35" t="s">
        <v>259</v>
      </c>
      <c r="AI218" s="35" t="s">
        <v>255</v>
      </c>
      <c r="AJ218" s="35" t="s">
        <v>259</v>
      </c>
      <c r="AK218" s="8" t="s">
        <v>292</v>
      </c>
      <c r="AL218" s="8" t="s">
        <v>261</v>
      </c>
      <c r="AM218" s="8" t="s">
        <v>278</v>
      </c>
      <c r="AN218" s="8" t="s">
        <v>594</v>
      </c>
      <c r="AO218" s="8" t="s">
        <v>448</v>
      </c>
      <c r="AP218" s="35" t="s">
        <v>265</v>
      </c>
      <c r="AQ218" s="39" t="n">
        <v>16</v>
      </c>
      <c r="AR218" s="39" t="n">
        <v>4.5</v>
      </c>
      <c r="AS218" s="33" t="n">
        <v>27</v>
      </c>
      <c r="AT218" s="45"/>
      <c r="AU218" s="45" t="n">
        <v>625.73</v>
      </c>
      <c r="AV218" s="45"/>
      <c r="AW218" s="39" t="n">
        <v>78.1</v>
      </c>
      <c r="AX218" s="39" t="n">
        <v>48.9</v>
      </c>
      <c r="AY218" s="39" t="n">
        <v>36.3</v>
      </c>
      <c r="AZ218" s="39" t="n">
        <v>16</v>
      </c>
      <c r="BA218" s="39" t="n">
        <v>0</v>
      </c>
      <c r="BB218" s="39" t="n">
        <v>78.7</v>
      </c>
      <c r="BC218" s="8" t="s">
        <v>806</v>
      </c>
      <c r="BD218" s="47" t="s">
        <v>290</v>
      </c>
      <c r="BE218" s="41" t="s">
        <v>807</v>
      </c>
    </row>
    <row r="219" customFormat="false" ht="15" hidden="false" customHeight="false" outlineLevel="0" collapsed="false">
      <c r="A219" s="33" t="n">
        <f aca="false">RANK(B219,$B$5:$B$266)</f>
        <v>215</v>
      </c>
      <c r="B219" s="34" t="n">
        <f aca="false">ROUND((AW219*'Scoring Weights'!$B$5+AX219*'Scoring Weights'!$B$6+AY219*'Scoring Weights'!$B$7+BA219*'Scoring Weights'!$B$8+AZ219*'Scoring Weights'!$B$9+BB219*'Scoring Weights'!$B$10)/MAX('Scoring Weights'!$B$11,1),1)</f>
        <v>43.4</v>
      </c>
      <c r="C219" s="35" t="str">
        <f aca="false">IF(AND(H219&lt;='Search Criteria'!$B$5,D219&gt;='Search Criteria'!$B$6,AQ219&lt;='Search Criteria'!$B$7,I219&lt;=INDEX('Search Criteria'!$B$18:$B$20,MATCH(E219,'Search Criteria'!$A$18:$A$20,0)),OR(NOT('Search Criteria'!$B$8),L219&lt;&gt;"FWD"),OR(NOT('Search Criteria'!$B$9),T219="Yes"),OR(NOT('Search Criteria'!$B$10),W219&gt;0),OR(NOT('Search Criteria'!$B$11),X219="Yes"),OR(NOT('Search Criteria'!$B$12),O219="GREAT",O219="GOOD"),OR(NOT('Search Criteria'!$B$13),K219="Yes")),"YES","no")</f>
        <v>no</v>
      </c>
      <c r="D219" s="33" t="n">
        <v>2025</v>
      </c>
      <c r="E219" s="8" t="s">
        <v>95</v>
      </c>
      <c r="F219" s="8" t="s">
        <v>234</v>
      </c>
      <c r="G219" s="8" t="s">
        <v>325</v>
      </c>
      <c r="H219" s="45" t="n">
        <v>30831</v>
      </c>
      <c r="I219" s="46" t="n">
        <v>43505</v>
      </c>
      <c r="J219" s="37" t="n">
        <f aca="false">IFERROR(ROUND(I219/MAX(2026-D219,0.5),0),"")</f>
        <v>43505</v>
      </c>
      <c r="K219" s="35" t="s">
        <v>259</v>
      </c>
      <c r="L219" s="35" t="s">
        <v>256</v>
      </c>
      <c r="M219" s="35" t="s">
        <v>257</v>
      </c>
      <c r="N219" s="33" t="n">
        <v>28</v>
      </c>
      <c r="O219" s="35" t="s">
        <v>276</v>
      </c>
      <c r="P219" s="45" t="n">
        <v>29788</v>
      </c>
      <c r="Q219" s="38" t="n">
        <v>-0.035</v>
      </c>
      <c r="R219" s="35" t="s">
        <v>286</v>
      </c>
      <c r="S219" s="45" t="n">
        <v>340</v>
      </c>
      <c r="T219" s="35" t="s">
        <v>255</v>
      </c>
      <c r="U219" s="33" t="n">
        <v>1</v>
      </c>
      <c r="V219" s="35" t="s">
        <v>259</v>
      </c>
      <c r="W219" s="33" t="n">
        <v>1</v>
      </c>
      <c r="X219" s="35" t="s">
        <v>255</v>
      </c>
      <c r="Y219" s="35" t="s">
        <v>255</v>
      </c>
      <c r="Z219" s="35" t="s">
        <v>255</v>
      </c>
      <c r="AA219" s="35" t="s">
        <v>255</v>
      </c>
      <c r="AB219" s="35" t="s">
        <v>255</v>
      </c>
      <c r="AC219" s="35" t="s">
        <v>255</v>
      </c>
      <c r="AD219" s="35" t="s">
        <v>255</v>
      </c>
      <c r="AE219" s="35" t="s">
        <v>259</v>
      </c>
      <c r="AF219" s="35" t="s">
        <v>259</v>
      </c>
      <c r="AG219" s="35" t="s">
        <v>259</v>
      </c>
      <c r="AH219" s="35" t="s">
        <v>255</v>
      </c>
      <c r="AI219" s="35" t="s">
        <v>255</v>
      </c>
      <c r="AJ219" s="35" t="s">
        <v>255</v>
      </c>
      <c r="AK219" s="8" t="s">
        <v>260</v>
      </c>
      <c r="AL219" s="8" t="s">
        <v>260</v>
      </c>
      <c r="AM219" s="8" t="s">
        <v>278</v>
      </c>
      <c r="AN219" s="8" t="s">
        <v>315</v>
      </c>
      <c r="AO219" s="8" t="s">
        <v>294</v>
      </c>
      <c r="AP219" s="35" t="s">
        <v>272</v>
      </c>
      <c r="AQ219" s="39" t="n">
        <v>41.6</v>
      </c>
      <c r="AR219" s="39" t="n">
        <v>4.6</v>
      </c>
      <c r="AS219" s="33" t="n">
        <v>9</v>
      </c>
      <c r="AT219" s="45"/>
      <c r="AU219" s="45" t="n">
        <v>550.75</v>
      </c>
      <c r="AV219" s="45" t="n">
        <v>314</v>
      </c>
      <c r="AW219" s="39" t="n">
        <v>68.7</v>
      </c>
      <c r="AX219" s="39" t="n">
        <v>51.3</v>
      </c>
      <c r="AY219" s="39" t="n">
        <v>9.1</v>
      </c>
      <c r="AZ219" s="39" t="n">
        <v>74</v>
      </c>
      <c r="BA219" s="39" t="n">
        <v>0</v>
      </c>
      <c r="BB219" s="39" t="n">
        <v>44.5</v>
      </c>
      <c r="BC219" s="8" t="s">
        <v>808</v>
      </c>
      <c r="BD219" s="47" t="s">
        <v>282</v>
      </c>
      <c r="BE219" s="41" t="s">
        <v>809</v>
      </c>
    </row>
    <row r="220" customFormat="false" ht="15" hidden="false" customHeight="false" outlineLevel="0" collapsed="false">
      <c r="A220" s="33" t="n">
        <f aca="false">RANK(B220,$B$5:$B$266)</f>
        <v>216</v>
      </c>
      <c r="B220" s="34" t="n">
        <f aca="false">ROUND((AW220*'Scoring Weights'!$B$5+AX220*'Scoring Weights'!$B$6+AY220*'Scoring Weights'!$B$7+BA220*'Scoring Weights'!$B$8+AZ220*'Scoring Weights'!$B$9+BB220*'Scoring Weights'!$B$10)/MAX('Scoring Weights'!$B$11,1),1)</f>
        <v>43.2</v>
      </c>
      <c r="C220" s="35" t="str">
        <f aca="false">IF(AND(H220&lt;='Search Criteria'!$B$5,D220&gt;='Search Criteria'!$B$6,AQ220&lt;='Search Criteria'!$B$7,I220&lt;=INDEX('Search Criteria'!$B$18:$B$20,MATCH(E220,'Search Criteria'!$A$18:$A$20,0)),OR(NOT('Search Criteria'!$B$8),L220&lt;&gt;"FWD"),OR(NOT('Search Criteria'!$B$9),T220="Yes"),OR(NOT('Search Criteria'!$B$10),W220&gt;0),OR(NOT('Search Criteria'!$B$11),X220="Yes"),OR(NOT('Search Criteria'!$B$12),O220="GREAT",O220="GOOD"),OR(NOT('Search Criteria'!$B$13),K220="Yes")),"YES","no")</f>
        <v>no</v>
      </c>
      <c r="D220" s="33" t="n">
        <v>2022</v>
      </c>
      <c r="E220" s="8" t="s">
        <v>92</v>
      </c>
      <c r="F220" s="8" t="s">
        <v>236</v>
      </c>
      <c r="G220" s="8" t="s">
        <v>338</v>
      </c>
      <c r="H220" s="45" t="n">
        <v>21313</v>
      </c>
      <c r="I220" s="46" t="n">
        <v>110499</v>
      </c>
      <c r="J220" s="37" t="n">
        <f aca="false">IFERROR(ROUND(I220/MAX(2026-D220,0.5),0),"")</f>
        <v>27625</v>
      </c>
      <c r="K220" s="35" t="s">
        <v>259</v>
      </c>
      <c r="L220" s="35" t="s">
        <v>256</v>
      </c>
      <c r="M220" s="35" t="s">
        <v>257</v>
      </c>
      <c r="N220" s="33" t="n">
        <v>30</v>
      </c>
      <c r="O220" s="35" t="s">
        <v>286</v>
      </c>
      <c r="P220" s="45" t="n">
        <v>24767</v>
      </c>
      <c r="Q220" s="38" t="n">
        <v>0.139</v>
      </c>
      <c r="R220" s="35" t="s">
        <v>277</v>
      </c>
      <c r="S220" s="45"/>
      <c r="T220" s="35" t="s">
        <v>259</v>
      </c>
      <c r="U220" s="33" t="n">
        <v>1</v>
      </c>
      <c r="V220" s="35" t="s">
        <v>259</v>
      </c>
      <c r="W220" s="33" t="n">
        <v>22</v>
      </c>
      <c r="X220" s="35" t="s">
        <v>259</v>
      </c>
      <c r="Y220" s="35" t="s">
        <v>255</v>
      </c>
      <c r="Z220" s="35" t="s">
        <v>259</v>
      </c>
      <c r="AA220" s="35" t="s">
        <v>259</v>
      </c>
      <c r="AB220" s="35" t="s">
        <v>255</v>
      </c>
      <c r="AC220" s="35" t="s">
        <v>259</v>
      </c>
      <c r="AD220" s="35" t="s">
        <v>259</v>
      </c>
      <c r="AE220" s="35" t="s">
        <v>259</v>
      </c>
      <c r="AF220" s="35" t="s">
        <v>259</v>
      </c>
      <c r="AG220" s="35" t="s">
        <v>259</v>
      </c>
      <c r="AH220" s="35" t="s">
        <v>259</v>
      </c>
      <c r="AI220" s="35" t="s">
        <v>259</v>
      </c>
      <c r="AJ220" s="35" t="s">
        <v>259</v>
      </c>
      <c r="AK220" s="8" t="s">
        <v>292</v>
      </c>
      <c r="AL220" s="8" t="s">
        <v>261</v>
      </c>
      <c r="AM220" s="8" t="s">
        <v>278</v>
      </c>
      <c r="AN220" s="8" t="s">
        <v>533</v>
      </c>
      <c r="AO220" s="8" t="s">
        <v>506</v>
      </c>
      <c r="AP220" s="35" t="s">
        <v>272</v>
      </c>
      <c r="AQ220" s="39" t="n">
        <v>52.6</v>
      </c>
      <c r="AR220" s="39" t="n">
        <v>4.5</v>
      </c>
      <c r="AS220" s="33" t="n">
        <v>9</v>
      </c>
      <c r="AT220" s="45"/>
      <c r="AU220" s="45" t="n">
        <v>380.73</v>
      </c>
      <c r="AV220" s="45" t="n">
        <v>314</v>
      </c>
      <c r="AW220" s="39" t="n">
        <v>80.8</v>
      </c>
      <c r="AX220" s="39" t="n">
        <v>86.3</v>
      </c>
      <c r="AY220" s="39" t="n">
        <v>0</v>
      </c>
      <c r="AZ220" s="39" t="n">
        <v>12</v>
      </c>
      <c r="BA220" s="39" t="n">
        <v>0</v>
      </c>
      <c r="BB220" s="39" t="n">
        <v>29.9</v>
      </c>
      <c r="BC220" s="8" t="s">
        <v>810</v>
      </c>
      <c r="BD220" s="47" t="s">
        <v>365</v>
      </c>
      <c r="BE220" s="41" t="s">
        <v>811</v>
      </c>
    </row>
    <row r="221" customFormat="false" ht="15" hidden="false" customHeight="false" outlineLevel="0" collapsed="false">
      <c r="A221" s="33" t="n">
        <f aca="false">RANK(B221,$B$5:$B$266)</f>
        <v>216</v>
      </c>
      <c r="B221" s="34" t="n">
        <f aca="false">ROUND((AW221*'Scoring Weights'!$B$5+AX221*'Scoring Weights'!$B$6+AY221*'Scoring Weights'!$B$7+BA221*'Scoring Weights'!$B$8+AZ221*'Scoring Weights'!$B$9+BB221*'Scoring Weights'!$B$10)/MAX('Scoring Weights'!$B$11,1),1)</f>
        <v>43.2</v>
      </c>
      <c r="C221" s="35" t="str">
        <f aca="false">IF(AND(H221&lt;='Search Criteria'!$B$5,D221&gt;='Search Criteria'!$B$6,AQ221&lt;='Search Criteria'!$B$7,I221&lt;=INDEX('Search Criteria'!$B$18:$B$20,MATCH(E221,'Search Criteria'!$A$18:$A$20,0)),OR(NOT('Search Criteria'!$B$8),L221&lt;&gt;"FWD"),OR(NOT('Search Criteria'!$B$9),T221="Yes"),OR(NOT('Search Criteria'!$B$10),W221&gt;0),OR(NOT('Search Criteria'!$B$11),X221="Yes"),OR(NOT('Search Criteria'!$B$12),O221="GREAT",O221="GOOD"),OR(NOT('Search Criteria'!$B$13),K221="Yes")),"YES","no")</f>
        <v>no</v>
      </c>
      <c r="D221" s="33" t="n">
        <v>2025</v>
      </c>
      <c r="E221" s="8" t="s">
        <v>92</v>
      </c>
      <c r="F221" s="8" t="s">
        <v>236</v>
      </c>
      <c r="G221" s="8" t="s">
        <v>338</v>
      </c>
      <c r="H221" s="45" t="n">
        <v>31019</v>
      </c>
      <c r="I221" s="46" t="n">
        <v>50929</v>
      </c>
      <c r="J221" s="37" t="n">
        <f aca="false">IFERROR(ROUND(I221/MAX(2026-D221,0.5),0),"")</f>
        <v>50929</v>
      </c>
      <c r="K221" s="35" t="s">
        <v>259</v>
      </c>
      <c r="L221" s="35" t="s">
        <v>256</v>
      </c>
      <c r="M221" s="35" t="s">
        <v>257</v>
      </c>
      <c r="N221" s="33" t="n">
        <v>30</v>
      </c>
      <c r="O221" s="35" t="s">
        <v>276</v>
      </c>
      <c r="P221" s="45" t="n">
        <v>33106</v>
      </c>
      <c r="Q221" s="38" t="n">
        <v>0.063</v>
      </c>
      <c r="R221" s="35" t="s">
        <v>258</v>
      </c>
      <c r="S221" s="45" t="n">
        <v>360</v>
      </c>
      <c r="T221" s="35" t="s">
        <v>259</v>
      </c>
      <c r="U221" s="33" t="n">
        <v>1</v>
      </c>
      <c r="V221" s="35" t="s">
        <v>259</v>
      </c>
      <c r="W221" s="33" t="n">
        <v>2</v>
      </c>
      <c r="X221" s="35" t="s">
        <v>259</v>
      </c>
      <c r="Y221" s="35" t="s">
        <v>255</v>
      </c>
      <c r="Z221" s="35" t="s">
        <v>259</v>
      </c>
      <c r="AA221" s="35" t="s">
        <v>259</v>
      </c>
      <c r="AB221" s="35" t="s">
        <v>259</v>
      </c>
      <c r="AC221" s="35" t="s">
        <v>259</v>
      </c>
      <c r="AD221" s="35" t="s">
        <v>259</v>
      </c>
      <c r="AE221" s="35" t="s">
        <v>259</v>
      </c>
      <c r="AF221" s="35" t="s">
        <v>259</v>
      </c>
      <c r="AG221" s="35" t="s">
        <v>259</v>
      </c>
      <c r="AH221" s="35" t="s">
        <v>259</v>
      </c>
      <c r="AI221" s="35" t="s">
        <v>259</v>
      </c>
      <c r="AJ221" s="35" t="s">
        <v>259</v>
      </c>
      <c r="AK221" s="8" t="s">
        <v>261</v>
      </c>
      <c r="AL221" s="8" t="s">
        <v>261</v>
      </c>
      <c r="AM221" s="8" t="s">
        <v>278</v>
      </c>
      <c r="AN221" s="8" t="s">
        <v>594</v>
      </c>
      <c r="AO221" s="8" t="s">
        <v>448</v>
      </c>
      <c r="AP221" s="35" t="s">
        <v>265</v>
      </c>
      <c r="AQ221" s="39" t="n">
        <v>16</v>
      </c>
      <c r="AR221" s="39" t="n">
        <v>4.5</v>
      </c>
      <c r="AS221" s="33" t="n">
        <v>32</v>
      </c>
      <c r="AT221" s="45"/>
      <c r="AU221" s="45" t="n">
        <v>554.11</v>
      </c>
      <c r="AV221" s="45"/>
      <c r="AW221" s="39" t="n">
        <v>71.2</v>
      </c>
      <c r="AX221" s="39" t="n">
        <v>66.1</v>
      </c>
      <c r="AY221" s="39" t="n">
        <v>34.3</v>
      </c>
      <c r="AZ221" s="39" t="n">
        <v>0</v>
      </c>
      <c r="BA221" s="39" t="n">
        <v>0</v>
      </c>
      <c r="BB221" s="39" t="n">
        <v>78.7</v>
      </c>
      <c r="BC221" s="8" t="s">
        <v>812</v>
      </c>
      <c r="BD221" s="47" t="s">
        <v>290</v>
      </c>
      <c r="BE221" s="41" t="s">
        <v>813</v>
      </c>
    </row>
    <row r="222" customFormat="false" ht="15" hidden="false" customHeight="false" outlineLevel="0" collapsed="false">
      <c r="A222" s="33" t="n">
        <f aca="false">RANK(B222,$B$5:$B$266)</f>
        <v>218</v>
      </c>
      <c r="B222" s="34" t="n">
        <f aca="false">ROUND((AW222*'Scoring Weights'!$B$5+AX222*'Scoring Weights'!$B$6+AY222*'Scoring Weights'!$B$7+BA222*'Scoring Weights'!$B$8+AZ222*'Scoring Weights'!$B$9+BB222*'Scoring Weights'!$B$10)/MAX('Scoring Weights'!$B$11,1),1)</f>
        <v>43</v>
      </c>
      <c r="C222" s="35" t="str">
        <f aca="false">IF(AND(H222&lt;='Search Criteria'!$B$5,D222&gt;='Search Criteria'!$B$6,AQ222&lt;='Search Criteria'!$B$7,I222&lt;=INDEX('Search Criteria'!$B$18:$B$20,MATCH(E222,'Search Criteria'!$A$18:$A$20,0)),OR(NOT('Search Criteria'!$B$8),L222&lt;&gt;"FWD"),OR(NOT('Search Criteria'!$B$9),T222="Yes"),OR(NOT('Search Criteria'!$B$10),W222&gt;0),OR(NOT('Search Criteria'!$B$11),X222="Yes"),OR(NOT('Search Criteria'!$B$12),O222="GREAT",O222="GOOD"),OR(NOT('Search Criteria'!$B$13),K222="Yes")),"YES","no")</f>
        <v>no</v>
      </c>
      <c r="D222" s="33" t="n">
        <v>2023</v>
      </c>
      <c r="E222" s="8" t="s">
        <v>95</v>
      </c>
      <c r="F222" s="8" t="s">
        <v>234</v>
      </c>
      <c r="G222" s="8" t="s">
        <v>407</v>
      </c>
      <c r="H222" s="45" t="n">
        <v>19869</v>
      </c>
      <c r="I222" s="46" t="n">
        <v>101288</v>
      </c>
      <c r="J222" s="37" t="n">
        <f aca="false">IFERROR(ROUND(I222/MAX(2026-D222,0.5),0),"")</f>
        <v>33763</v>
      </c>
      <c r="K222" s="35" t="s">
        <v>259</v>
      </c>
      <c r="L222" s="35" t="s">
        <v>256</v>
      </c>
      <c r="M222" s="35" t="s">
        <v>257</v>
      </c>
      <c r="N222" s="33" t="n">
        <v>28</v>
      </c>
      <c r="O222" s="35" t="s">
        <v>286</v>
      </c>
      <c r="P222" s="45" t="n">
        <v>20323</v>
      </c>
      <c r="Q222" s="38" t="n">
        <v>0.022</v>
      </c>
      <c r="R222" s="35" t="s">
        <v>277</v>
      </c>
      <c r="S222" s="45"/>
      <c r="T222" s="35" t="s">
        <v>255</v>
      </c>
      <c r="U222" s="33" t="n">
        <v>1</v>
      </c>
      <c r="V222" s="35" t="s">
        <v>259</v>
      </c>
      <c r="W222" s="33" t="n">
        <v>20</v>
      </c>
      <c r="X222" s="35" t="s">
        <v>255</v>
      </c>
      <c r="Y222" s="35" t="s">
        <v>255</v>
      </c>
      <c r="Z222" s="35" t="s">
        <v>259</v>
      </c>
      <c r="AA222" s="35" t="s">
        <v>259</v>
      </c>
      <c r="AB222" s="35" t="s">
        <v>255</v>
      </c>
      <c r="AC222" s="35" t="s">
        <v>255</v>
      </c>
      <c r="AD222" s="35" t="s">
        <v>255</v>
      </c>
      <c r="AE222" s="35" t="s">
        <v>259</v>
      </c>
      <c r="AF222" s="35" t="s">
        <v>259</v>
      </c>
      <c r="AG222" s="35" t="s">
        <v>259</v>
      </c>
      <c r="AH222" s="35" t="s">
        <v>259</v>
      </c>
      <c r="AI222" s="35" t="s">
        <v>255</v>
      </c>
      <c r="AJ222" s="35" t="s">
        <v>259</v>
      </c>
      <c r="AK222" s="8" t="s">
        <v>261</v>
      </c>
      <c r="AL222" s="8" t="s">
        <v>261</v>
      </c>
      <c r="AM222" s="8" t="s">
        <v>278</v>
      </c>
      <c r="AN222" s="8" t="s">
        <v>533</v>
      </c>
      <c r="AO222" s="8" t="s">
        <v>506</v>
      </c>
      <c r="AP222" s="35" t="s">
        <v>272</v>
      </c>
      <c r="AQ222" s="39" t="n">
        <v>52.6</v>
      </c>
      <c r="AR222" s="39" t="n">
        <v>4.5</v>
      </c>
      <c r="AS222" s="33" t="n">
        <v>9</v>
      </c>
      <c r="AT222" s="45"/>
      <c r="AU222" s="45" t="n">
        <v>354.93</v>
      </c>
      <c r="AV222" s="45" t="n">
        <v>314</v>
      </c>
      <c r="AW222" s="39" t="n">
        <v>80.1</v>
      </c>
      <c r="AX222" s="39" t="n">
        <v>68.7</v>
      </c>
      <c r="AY222" s="39" t="n">
        <v>0</v>
      </c>
      <c r="AZ222" s="39" t="n">
        <v>40</v>
      </c>
      <c r="BA222" s="39" t="n">
        <v>0</v>
      </c>
      <c r="BB222" s="39" t="n">
        <v>29.9</v>
      </c>
      <c r="BC222" s="8" t="s">
        <v>814</v>
      </c>
      <c r="BD222" s="47" t="s">
        <v>632</v>
      </c>
      <c r="BE222" s="41" t="s">
        <v>815</v>
      </c>
    </row>
    <row r="223" customFormat="false" ht="15" hidden="false" customHeight="false" outlineLevel="0" collapsed="false">
      <c r="A223" s="33" t="n">
        <f aca="false">RANK(B223,$B$5:$B$266)</f>
        <v>219</v>
      </c>
      <c r="B223" s="34" t="n">
        <f aca="false">ROUND((AW223*'Scoring Weights'!$B$5+AX223*'Scoring Weights'!$B$6+AY223*'Scoring Weights'!$B$7+BA223*'Scoring Weights'!$B$8+AZ223*'Scoring Weights'!$B$9+BB223*'Scoring Weights'!$B$10)/MAX('Scoring Weights'!$B$11,1),1)</f>
        <v>42.8</v>
      </c>
      <c r="C223" s="35" t="str">
        <f aca="false">IF(AND(H223&lt;='Search Criteria'!$B$5,D223&gt;='Search Criteria'!$B$6,AQ223&lt;='Search Criteria'!$B$7,I223&lt;=INDEX('Search Criteria'!$B$18:$B$20,MATCH(E223,'Search Criteria'!$A$18:$A$20,0)),OR(NOT('Search Criteria'!$B$8),L223&lt;&gt;"FWD"),OR(NOT('Search Criteria'!$B$9),T223="Yes"),OR(NOT('Search Criteria'!$B$10),W223&gt;0),OR(NOT('Search Criteria'!$B$11),X223="Yes"),OR(NOT('Search Criteria'!$B$12),O223="GREAT",O223="GOOD"),OR(NOT('Search Criteria'!$B$13),K223="Yes")),"YES","no")</f>
        <v>no</v>
      </c>
      <c r="D223" s="33" t="n">
        <v>2025</v>
      </c>
      <c r="E223" s="8" t="s">
        <v>92</v>
      </c>
      <c r="F223" s="8" t="s">
        <v>236</v>
      </c>
      <c r="G223" s="8" t="s">
        <v>338</v>
      </c>
      <c r="H223" s="45" t="n">
        <v>36250</v>
      </c>
      <c r="I223" s="46" t="n">
        <v>19259</v>
      </c>
      <c r="J223" s="37" t="n">
        <f aca="false">IFERROR(ROUND(I223/MAX(2026-D223,0.5),0),"")</f>
        <v>19259</v>
      </c>
      <c r="K223" s="35" t="s">
        <v>259</v>
      </c>
      <c r="L223" s="35" t="s">
        <v>256</v>
      </c>
      <c r="M223" s="35" t="s">
        <v>302</v>
      </c>
      <c r="N223" s="33" t="n">
        <v>39</v>
      </c>
      <c r="O223" s="35" t="s">
        <v>297</v>
      </c>
      <c r="P223" s="45" t="n">
        <v>35634</v>
      </c>
      <c r="Q223" s="38" t="n">
        <v>-0.017</v>
      </c>
      <c r="R223" s="35" t="s">
        <v>258</v>
      </c>
      <c r="S223" s="45" t="n">
        <v>440</v>
      </c>
      <c r="T223" s="35" t="s">
        <v>255</v>
      </c>
      <c r="U223" s="33" t="n">
        <v>1</v>
      </c>
      <c r="V223" s="35" t="s">
        <v>259</v>
      </c>
      <c r="W223" s="33" t="n">
        <v>3</v>
      </c>
      <c r="X223" s="35" t="s">
        <v>259</v>
      </c>
      <c r="Y223" s="35" t="s">
        <v>255</v>
      </c>
      <c r="Z223" s="35" t="s">
        <v>259</v>
      </c>
      <c r="AA223" s="35" t="s">
        <v>259</v>
      </c>
      <c r="AB223" s="35" t="s">
        <v>259</v>
      </c>
      <c r="AC223" s="35" t="s">
        <v>259</v>
      </c>
      <c r="AD223" s="35" t="s">
        <v>259</v>
      </c>
      <c r="AE223" s="35" t="s">
        <v>259</v>
      </c>
      <c r="AF223" s="35" t="s">
        <v>259</v>
      </c>
      <c r="AG223" s="35" t="s">
        <v>259</v>
      </c>
      <c r="AH223" s="35" t="s">
        <v>259</v>
      </c>
      <c r="AI223" s="35" t="s">
        <v>259</v>
      </c>
      <c r="AJ223" s="35" t="s">
        <v>259</v>
      </c>
      <c r="AK223" s="8" t="s">
        <v>261</v>
      </c>
      <c r="AL223" s="8" t="s">
        <v>261</v>
      </c>
      <c r="AM223" s="8" t="s">
        <v>278</v>
      </c>
      <c r="AN223" s="8" t="s">
        <v>339</v>
      </c>
      <c r="AO223" s="8" t="s">
        <v>340</v>
      </c>
      <c r="AP223" s="35" t="s">
        <v>265</v>
      </c>
      <c r="AQ223" s="39" t="n">
        <v>59.9</v>
      </c>
      <c r="AR223" s="39" t="n">
        <v>4.5</v>
      </c>
      <c r="AS223" s="33" t="n">
        <v>3</v>
      </c>
      <c r="AT223" s="45"/>
      <c r="AU223" s="45" t="n">
        <v>647.55</v>
      </c>
      <c r="AV223" s="45" t="n">
        <v>262</v>
      </c>
      <c r="AW223" s="39" t="n">
        <v>79.3</v>
      </c>
      <c r="AX223" s="39" t="n">
        <v>50.2</v>
      </c>
      <c r="AY223" s="39" t="n">
        <v>56.5</v>
      </c>
      <c r="AZ223" s="39" t="n">
        <v>0</v>
      </c>
      <c r="BA223" s="39" t="n">
        <v>0</v>
      </c>
      <c r="BB223" s="39" t="n">
        <v>20.2</v>
      </c>
      <c r="BC223" s="8" t="s">
        <v>816</v>
      </c>
      <c r="BD223" s="47" t="s">
        <v>290</v>
      </c>
      <c r="BE223" s="41" t="s">
        <v>817</v>
      </c>
    </row>
    <row r="224" customFormat="false" ht="15" hidden="false" customHeight="false" outlineLevel="0" collapsed="false">
      <c r="A224" s="33" t="n">
        <f aca="false">RANK(B224,$B$5:$B$266)</f>
        <v>220</v>
      </c>
      <c r="B224" s="34" t="n">
        <f aca="false">ROUND((AW224*'Scoring Weights'!$B$5+AX224*'Scoring Weights'!$B$6+AY224*'Scoring Weights'!$B$7+BA224*'Scoring Weights'!$B$8+AZ224*'Scoring Weights'!$B$9+BB224*'Scoring Weights'!$B$10)/MAX('Scoring Weights'!$B$11,1),1)</f>
        <v>42.7</v>
      </c>
      <c r="C224" s="35" t="str">
        <f aca="false">IF(AND(H224&lt;='Search Criteria'!$B$5,D224&gt;='Search Criteria'!$B$6,AQ224&lt;='Search Criteria'!$B$7,I224&lt;=INDEX('Search Criteria'!$B$18:$B$20,MATCH(E224,'Search Criteria'!$A$18:$A$20,0)),OR(NOT('Search Criteria'!$B$8),L224&lt;&gt;"FWD"),OR(NOT('Search Criteria'!$B$9),T224="Yes"),OR(NOT('Search Criteria'!$B$10),W224&gt;0),OR(NOT('Search Criteria'!$B$11),X224="Yes"),OR(NOT('Search Criteria'!$B$12),O224="GREAT",O224="GOOD"),OR(NOT('Search Criteria'!$B$13),K224="Yes")),"YES","no")</f>
        <v>no</v>
      </c>
      <c r="D224" s="33" t="n">
        <v>2024</v>
      </c>
      <c r="E224" s="8" t="s">
        <v>95</v>
      </c>
      <c r="F224" s="8" t="s">
        <v>234</v>
      </c>
      <c r="G224" s="8" t="s">
        <v>407</v>
      </c>
      <c r="H224" s="45" t="n">
        <v>26010</v>
      </c>
      <c r="I224" s="46" t="n">
        <v>42402</v>
      </c>
      <c r="J224" s="37" t="n">
        <f aca="false">IFERROR(ROUND(I224/MAX(2026-D224,0.5),0),"")</f>
        <v>21201</v>
      </c>
      <c r="K224" s="35" t="s">
        <v>259</v>
      </c>
      <c r="L224" s="35" t="s">
        <v>256</v>
      </c>
      <c r="M224" s="35" t="s">
        <v>257</v>
      </c>
      <c r="N224" s="33" t="n">
        <v>28</v>
      </c>
      <c r="O224" s="35" t="s">
        <v>297</v>
      </c>
      <c r="P224" s="45" t="n">
        <v>28240</v>
      </c>
      <c r="Q224" s="38" t="n">
        <v>0.079</v>
      </c>
      <c r="R224" s="35" t="s">
        <v>286</v>
      </c>
      <c r="S224" s="45" t="n">
        <v>380</v>
      </c>
      <c r="T224" s="35" t="s">
        <v>255</v>
      </c>
      <c r="U224" s="33" t="n">
        <v>1</v>
      </c>
      <c r="V224" s="35" t="s">
        <v>255</v>
      </c>
      <c r="W224" s="33" t="n">
        <v>8</v>
      </c>
      <c r="X224" s="35" t="s">
        <v>255</v>
      </c>
      <c r="Y224" s="35" t="s">
        <v>255</v>
      </c>
      <c r="Z224" s="35" t="s">
        <v>259</v>
      </c>
      <c r="AA224" s="35" t="s">
        <v>259</v>
      </c>
      <c r="AB224" s="35" t="s">
        <v>255</v>
      </c>
      <c r="AC224" s="35" t="s">
        <v>259</v>
      </c>
      <c r="AD224" s="35" t="s">
        <v>255</v>
      </c>
      <c r="AE224" s="35" t="s">
        <v>259</v>
      </c>
      <c r="AF224" s="35" t="s">
        <v>259</v>
      </c>
      <c r="AG224" s="35" t="s">
        <v>259</v>
      </c>
      <c r="AH224" s="35" t="s">
        <v>259</v>
      </c>
      <c r="AI224" s="35" t="s">
        <v>255</v>
      </c>
      <c r="AJ224" s="35" t="s">
        <v>259</v>
      </c>
      <c r="AK224" s="8" t="s">
        <v>292</v>
      </c>
      <c r="AL224" s="8" t="s">
        <v>260</v>
      </c>
      <c r="AM224" s="8" t="s">
        <v>278</v>
      </c>
      <c r="AN224" s="8" t="s">
        <v>405</v>
      </c>
      <c r="AO224" s="8" t="s">
        <v>340</v>
      </c>
      <c r="AP224" s="35" t="s">
        <v>265</v>
      </c>
      <c r="AQ224" s="39" t="n">
        <v>59.9</v>
      </c>
      <c r="AR224" s="39" t="n">
        <v>4.7</v>
      </c>
      <c r="AS224" s="33" t="n">
        <v>61</v>
      </c>
      <c r="AT224" s="45"/>
      <c r="AU224" s="45" t="n">
        <v>464.63</v>
      </c>
      <c r="AV224" s="45" t="n">
        <v>549</v>
      </c>
      <c r="AW224" s="39" t="n">
        <v>83.3</v>
      </c>
      <c r="AX224" s="39" t="n">
        <v>64.6</v>
      </c>
      <c r="AY224" s="39" t="n">
        <v>10.6</v>
      </c>
      <c r="AZ224" s="39" t="n">
        <v>28</v>
      </c>
      <c r="BA224" s="39" t="n">
        <v>0</v>
      </c>
      <c r="BB224" s="39" t="n">
        <v>20.2</v>
      </c>
      <c r="BC224" s="8" t="s">
        <v>818</v>
      </c>
      <c r="BD224" s="47" t="s">
        <v>423</v>
      </c>
      <c r="BE224" s="41" t="s">
        <v>819</v>
      </c>
    </row>
    <row r="225" customFormat="false" ht="15" hidden="false" customHeight="false" outlineLevel="0" collapsed="false">
      <c r="A225" s="33" t="n">
        <f aca="false">RANK(B225,$B$5:$B$266)</f>
        <v>221</v>
      </c>
      <c r="B225" s="34" t="n">
        <f aca="false">ROUND((AW225*'Scoring Weights'!$B$5+AX225*'Scoring Weights'!$B$6+AY225*'Scoring Weights'!$B$7+BA225*'Scoring Weights'!$B$8+AZ225*'Scoring Weights'!$B$9+BB225*'Scoring Weights'!$B$10)/MAX('Scoring Weights'!$B$11,1),1)</f>
        <v>42.6</v>
      </c>
      <c r="C225" s="35" t="str">
        <f aca="false">IF(AND(H225&lt;='Search Criteria'!$B$5,D225&gt;='Search Criteria'!$B$6,AQ225&lt;='Search Criteria'!$B$7,I225&lt;=INDEX('Search Criteria'!$B$18:$B$20,MATCH(E225,'Search Criteria'!$A$18:$A$20,0)),OR(NOT('Search Criteria'!$B$8),L225&lt;&gt;"FWD"),OR(NOT('Search Criteria'!$B$9),T225="Yes"),OR(NOT('Search Criteria'!$B$10),W225&gt;0),OR(NOT('Search Criteria'!$B$11),X225="Yes"),OR(NOT('Search Criteria'!$B$12),O225="GREAT",O225="GOOD"),OR(NOT('Search Criteria'!$B$13),K225="Yes")),"YES","no")</f>
        <v>no</v>
      </c>
      <c r="D225" s="33" t="n">
        <v>2025</v>
      </c>
      <c r="E225" s="8" t="s">
        <v>92</v>
      </c>
      <c r="F225" s="8" t="s">
        <v>236</v>
      </c>
      <c r="G225" s="8" t="s">
        <v>296</v>
      </c>
      <c r="H225" s="45" t="n">
        <v>35901</v>
      </c>
      <c r="I225" s="46" t="n">
        <v>40513</v>
      </c>
      <c r="J225" s="37" t="n">
        <f aca="false">IFERROR(ROUND(I225/MAX(2026-D225,0.5),0),"")</f>
        <v>40513</v>
      </c>
      <c r="K225" s="35" t="s">
        <v>259</v>
      </c>
      <c r="L225" s="35" t="s">
        <v>256</v>
      </c>
      <c r="M225" s="35" t="s">
        <v>302</v>
      </c>
      <c r="N225" s="33" t="n">
        <v>39</v>
      </c>
      <c r="O225" s="35" t="s">
        <v>276</v>
      </c>
      <c r="P225" s="45" t="n">
        <v>33937</v>
      </c>
      <c r="Q225" s="38" t="n">
        <v>-0.058</v>
      </c>
      <c r="R225" s="35" t="s">
        <v>286</v>
      </c>
      <c r="S225" s="45" t="n">
        <v>390</v>
      </c>
      <c r="T225" s="35" t="s">
        <v>255</v>
      </c>
      <c r="U225" s="33" t="n">
        <v>1</v>
      </c>
      <c r="V225" s="35" t="s">
        <v>259</v>
      </c>
      <c r="W225" s="33" t="n">
        <v>1</v>
      </c>
      <c r="X225" s="35" t="s">
        <v>259</v>
      </c>
      <c r="Y225" s="35" t="s">
        <v>255</v>
      </c>
      <c r="Z225" s="35" t="s">
        <v>259</v>
      </c>
      <c r="AA225" s="35" t="s">
        <v>259</v>
      </c>
      <c r="AB225" s="35" t="s">
        <v>255</v>
      </c>
      <c r="AC225" s="35" t="s">
        <v>259</v>
      </c>
      <c r="AD225" s="35" t="s">
        <v>259</v>
      </c>
      <c r="AE225" s="35" t="s">
        <v>259</v>
      </c>
      <c r="AF225" s="35" t="s">
        <v>259</v>
      </c>
      <c r="AG225" s="35" t="s">
        <v>259</v>
      </c>
      <c r="AH225" s="35" t="s">
        <v>259</v>
      </c>
      <c r="AI225" s="35" t="s">
        <v>255</v>
      </c>
      <c r="AJ225" s="35" t="s">
        <v>259</v>
      </c>
      <c r="AK225" s="8" t="s">
        <v>269</v>
      </c>
      <c r="AL225" s="8" t="s">
        <v>358</v>
      </c>
      <c r="AM225" s="8" t="s">
        <v>278</v>
      </c>
      <c r="AN225" s="8" t="s">
        <v>655</v>
      </c>
      <c r="AO225" s="8" t="s">
        <v>656</v>
      </c>
      <c r="AP225" s="35" t="s">
        <v>265</v>
      </c>
      <c r="AQ225" s="39" t="n">
        <v>9.7</v>
      </c>
      <c r="AR225" s="39" t="n">
        <v>4.6</v>
      </c>
      <c r="AS225" s="33" t="n">
        <v>37</v>
      </c>
      <c r="AT225" s="45"/>
      <c r="AU225" s="45" t="n">
        <v>641.32</v>
      </c>
      <c r="AV225" s="45"/>
      <c r="AW225" s="39" t="n">
        <v>69.3</v>
      </c>
      <c r="AX225" s="39" t="n">
        <v>47.9</v>
      </c>
      <c r="AY225" s="39" t="n">
        <v>41.6</v>
      </c>
      <c r="AZ225" s="39" t="n">
        <v>16</v>
      </c>
      <c r="BA225" s="39" t="n">
        <v>0</v>
      </c>
      <c r="BB225" s="39" t="n">
        <v>87.1</v>
      </c>
      <c r="BC225" s="8" t="s">
        <v>820</v>
      </c>
      <c r="BD225" s="47" t="s">
        <v>290</v>
      </c>
      <c r="BE225" s="41" t="s">
        <v>821</v>
      </c>
    </row>
    <row r="226" customFormat="false" ht="15" hidden="false" customHeight="false" outlineLevel="0" collapsed="false">
      <c r="A226" s="33" t="n">
        <f aca="false">RANK(B226,$B$5:$B$266)</f>
        <v>222</v>
      </c>
      <c r="B226" s="34" t="n">
        <f aca="false">ROUND((AW226*'Scoring Weights'!$B$5+AX226*'Scoring Weights'!$B$6+AY226*'Scoring Weights'!$B$7+BA226*'Scoring Weights'!$B$8+AZ226*'Scoring Weights'!$B$9+BB226*'Scoring Weights'!$B$10)/MAX('Scoring Weights'!$B$11,1),1)</f>
        <v>42.5</v>
      </c>
      <c r="C226" s="35" t="str">
        <f aca="false">IF(AND(H226&lt;='Search Criteria'!$B$5,D226&gt;='Search Criteria'!$B$6,AQ226&lt;='Search Criteria'!$B$7,I226&lt;=INDEX('Search Criteria'!$B$18:$B$20,MATCH(E226,'Search Criteria'!$A$18:$A$20,0)),OR(NOT('Search Criteria'!$B$8),L226&lt;&gt;"FWD"),OR(NOT('Search Criteria'!$B$9),T226="Yes"),OR(NOT('Search Criteria'!$B$10),W226&gt;0),OR(NOT('Search Criteria'!$B$11),X226="Yes"),OR(NOT('Search Criteria'!$B$12),O226="GREAT",O226="GOOD"),OR(NOT('Search Criteria'!$B$13),K226="Yes")),"YES","no")</f>
        <v>no</v>
      </c>
      <c r="D226" s="33" t="n">
        <v>2025</v>
      </c>
      <c r="E226" s="8" t="s">
        <v>92</v>
      </c>
      <c r="F226" s="8" t="s">
        <v>236</v>
      </c>
      <c r="G226" s="8" t="s">
        <v>296</v>
      </c>
      <c r="H226" s="45" t="n">
        <v>35842</v>
      </c>
      <c r="I226" s="46" t="n">
        <v>38392</v>
      </c>
      <c r="J226" s="37" t="n">
        <f aca="false">IFERROR(ROUND(I226/MAX(2026-D226,0.5),0),"")</f>
        <v>38392</v>
      </c>
      <c r="K226" s="35" t="s">
        <v>259</v>
      </c>
      <c r="L226" s="35" t="s">
        <v>256</v>
      </c>
      <c r="M226" s="35" t="s">
        <v>302</v>
      </c>
      <c r="N226" s="33" t="n">
        <v>39</v>
      </c>
      <c r="O226" s="35" t="s">
        <v>276</v>
      </c>
      <c r="P226" s="45" t="n">
        <v>34107</v>
      </c>
      <c r="Q226" s="38" t="n">
        <v>-0.051</v>
      </c>
      <c r="R226" s="35" t="s">
        <v>286</v>
      </c>
      <c r="S226" s="45" t="n">
        <v>430</v>
      </c>
      <c r="T226" s="35" t="s">
        <v>255</v>
      </c>
      <c r="U226" s="33" t="n">
        <v>1</v>
      </c>
      <c r="V226" s="35" t="s">
        <v>259</v>
      </c>
      <c r="W226" s="33" t="n">
        <v>1</v>
      </c>
      <c r="X226" s="35" t="s">
        <v>259</v>
      </c>
      <c r="Y226" s="35" t="s">
        <v>255</v>
      </c>
      <c r="Z226" s="35" t="s">
        <v>259</v>
      </c>
      <c r="AA226" s="35" t="s">
        <v>259</v>
      </c>
      <c r="AB226" s="35" t="s">
        <v>255</v>
      </c>
      <c r="AC226" s="35" t="s">
        <v>259</v>
      </c>
      <c r="AD226" s="35" t="s">
        <v>259</v>
      </c>
      <c r="AE226" s="35" t="s">
        <v>259</v>
      </c>
      <c r="AF226" s="35" t="s">
        <v>259</v>
      </c>
      <c r="AG226" s="35" t="s">
        <v>259</v>
      </c>
      <c r="AH226" s="35" t="s">
        <v>259</v>
      </c>
      <c r="AI226" s="35" t="s">
        <v>255</v>
      </c>
      <c r="AJ226" s="35" t="s">
        <v>259</v>
      </c>
      <c r="AK226" s="8" t="s">
        <v>261</v>
      </c>
      <c r="AL226" s="8" t="s">
        <v>261</v>
      </c>
      <c r="AM226" s="8" t="s">
        <v>278</v>
      </c>
      <c r="AN226" s="8" t="s">
        <v>731</v>
      </c>
      <c r="AO226" s="8" t="s">
        <v>264</v>
      </c>
      <c r="AP226" s="35" t="s">
        <v>265</v>
      </c>
      <c r="AQ226" s="39" t="n">
        <v>0.3</v>
      </c>
      <c r="AR226" s="39" t="n">
        <v>4.7</v>
      </c>
      <c r="AS226" s="33" t="n">
        <v>32</v>
      </c>
      <c r="AT226" s="45"/>
      <c r="AU226" s="45" t="n">
        <v>640.27</v>
      </c>
      <c r="AV226" s="45"/>
      <c r="AW226" s="39" t="n">
        <v>64.5</v>
      </c>
      <c r="AX226" s="39" t="n">
        <v>49</v>
      </c>
      <c r="AY226" s="39" t="n">
        <v>43.1</v>
      </c>
      <c r="AZ226" s="39" t="n">
        <v>16</v>
      </c>
      <c r="BA226" s="39" t="n">
        <v>0</v>
      </c>
      <c r="BB226" s="39" t="n">
        <v>99.5</v>
      </c>
      <c r="BC226" s="8" t="s">
        <v>822</v>
      </c>
      <c r="BD226" s="47" t="s">
        <v>290</v>
      </c>
      <c r="BE226" s="41" t="s">
        <v>823</v>
      </c>
    </row>
    <row r="227" customFormat="false" ht="15" hidden="false" customHeight="false" outlineLevel="0" collapsed="false">
      <c r="A227" s="33" t="n">
        <f aca="false">RANK(B227,$B$5:$B$266)</f>
        <v>223</v>
      </c>
      <c r="B227" s="34" t="n">
        <f aca="false">ROUND((AW227*'Scoring Weights'!$B$5+AX227*'Scoring Weights'!$B$6+AY227*'Scoring Weights'!$B$7+BA227*'Scoring Weights'!$B$8+AZ227*'Scoring Weights'!$B$9+BB227*'Scoring Weights'!$B$10)/MAX('Scoring Weights'!$B$11,1),1)</f>
        <v>42.4</v>
      </c>
      <c r="C227" s="35" t="str">
        <f aca="false">IF(AND(H227&lt;='Search Criteria'!$B$5,D227&gt;='Search Criteria'!$B$6,AQ227&lt;='Search Criteria'!$B$7,I227&lt;=INDEX('Search Criteria'!$B$18:$B$20,MATCH(E227,'Search Criteria'!$A$18:$A$20,0)),OR(NOT('Search Criteria'!$B$8),L227&lt;&gt;"FWD"),OR(NOT('Search Criteria'!$B$9),T227="Yes"),OR(NOT('Search Criteria'!$B$10),W227&gt;0),OR(NOT('Search Criteria'!$B$11),X227="Yes"),OR(NOT('Search Criteria'!$B$12),O227="GREAT",O227="GOOD"),OR(NOT('Search Criteria'!$B$13),K227="Yes")),"YES","no")</f>
        <v>no</v>
      </c>
      <c r="D227" s="33" t="n">
        <v>2025</v>
      </c>
      <c r="E227" s="8" t="s">
        <v>94</v>
      </c>
      <c r="F227" s="8" t="s">
        <v>233</v>
      </c>
      <c r="G227" s="8" t="s">
        <v>319</v>
      </c>
      <c r="H227" s="45" t="n">
        <v>23869</v>
      </c>
      <c r="I227" s="46" t="n">
        <v>50133</v>
      </c>
      <c r="J227" s="37" t="n">
        <f aca="false">IFERROR(ROUND(I227/MAX(2026-D227,0.5),0),"")</f>
        <v>50133</v>
      </c>
      <c r="K227" s="35" t="s">
        <v>259</v>
      </c>
      <c r="L227" s="35" t="s">
        <v>256</v>
      </c>
      <c r="M227" s="35" t="s">
        <v>257</v>
      </c>
      <c r="N227" s="33" t="n">
        <v>27</v>
      </c>
      <c r="O227" s="35" t="s">
        <v>297</v>
      </c>
      <c r="P227" s="45" t="n">
        <v>25360</v>
      </c>
      <c r="Q227" s="38" t="n">
        <v>0.059</v>
      </c>
      <c r="R227" s="35" t="s">
        <v>258</v>
      </c>
      <c r="S227" s="45" t="n">
        <v>330</v>
      </c>
      <c r="T227" s="35" t="s">
        <v>255</v>
      </c>
      <c r="U227" s="33" t="n">
        <v>1</v>
      </c>
      <c r="V227" s="35" t="s">
        <v>259</v>
      </c>
      <c r="W227" s="33" t="n">
        <v>4</v>
      </c>
      <c r="X227" s="35" t="s">
        <v>259</v>
      </c>
      <c r="Y227" s="35" t="s">
        <v>255</v>
      </c>
      <c r="Z227" s="35" t="s">
        <v>259</v>
      </c>
      <c r="AA227" s="35" t="s">
        <v>259</v>
      </c>
      <c r="AB227" s="35" t="s">
        <v>259</v>
      </c>
      <c r="AC227" s="35" t="s">
        <v>259</v>
      </c>
      <c r="AD227" s="35" t="s">
        <v>259</v>
      </c>
      <c r="AE227" s="35" t="s">
        <v>259</v>
      </c>
      <c r="AF227" s="35" t="s">
        <v>255</v>
      </c>
      <c r="AG227" s="35" t="s">
        <v>259</v>
      </c>
      <c r="AH227" s="35" t="s">
        <v>259</v>
      </c>
      <c r="AI227" s="35" t="s">
        <v>259</v>
      </c>
      <c r="AJ227" s="35" t="s">
        <v>259</v>
      </c>
      <c r="AK227" s="8" t="s">
        <v>260</v>
      </c>
      <c r="AL227" s="8" t="s">
        <v>261</v>
      </c>
      <c r="AM227" s="8" t="s">
        <v>303</v>
      </c>
      <c r="AN227" s="8" t="s">
        <v>533</v>
      </c>
      <c r="AO227" s="8" t="s">
        <v>506</v>
      </c>
      <c r="AP227" s="35" t="s">
        <v>272</v>
      </c>
      <c r="AQ227" s="39" t="n">
        <v>52.6</v>
      </c>
      <c r="AR227" s="39" t="n">
        <v>4.5</v>
      </c>
      <c r="AS227" s="33" t="n">
        <v>30</v>
      </c>
      <c r="AT227" s="45"/>
      <c r="AU227" s="45" t="n">
        <v>426.39</v>
      </c>
      <c r="AV227" s="45" t="n">
        <v>314</v>
      </c>
      <c r="AW227" s="39" t="n">
        <v>87.2</v>
      </c>
      <c r="AX227" s="39" t="n">
        <v>61.6</v>
      </c>
      <c r="AY227" s="39" t="n">
        <v>19.9</v>
      </c>
      <c r="AZ227" s="39" t="n">
        <v>8</v>
      </c>
      <c r="BA227" s="39" t="n">
        <v>0</v>
      </c>
      <c r="BB227" s="39" t="n">
        <v>29.9</v>
      </c>
      <c r="BC227" s="8" t="s">
        <v>824</v>
      </c>
      <c r="BD227" s="47" t="s">
        <v>390</v>
      </c>
      <c r="BE227" s="41" t="s">
        <v>825</v>
      </c>
    </row>
    <row r="228" customFormat="false" ht="15" hidden="false" customHeight="false" outlineLevel="0" collapsed="false">
      <c r="A228" s="33" t="n">
        <f aca="false">RANK(B228,$B$5:$B$266)</f>
        <v>224</v>
      </c>
      <c r="B228" s="34" t="n">
        <f aca="false">ROUND((AW228*'Scoring Weights'!$B$5+AX228*'Scoring Weights'!$B$6+AY228*'Scoring Weights'!$B$7+BA228*'Scoring Weights'!$B$8+AZ228*'Scoring Weights'!$B$9+BB228*'Scoring Weights'!$B$10)/MAX('Scoring Weights'!$B$11,1),1)</f>
        <v>42.1</v>
      </c>
      <c r="C228" s="35" t="str">
        <f aca="false">IF(AND(H228&lt;='Search Criteria'!$B$5,D228&gt;='Search Criteria'!$B$6,AQ228&lt;='Search Criteria'!$B$7,I228&lt;=INDEX('Search Criteria'!$B$18:$B$20,MATCH(E228,'Search Criteria'!$A$18:$A$20,0)),OR(NOT('Search Criteria'!$B$8),L228&lt;&gt;"FWD"),OR(NOT('Search Criteria'!$B$9),T228="Yes"),OR(NOT('Search Criteria'!$B$10),W228&gt;0),OR(NOT('Search Criteria'!$B$11),X228="Yes"),OR(NOT('Search Criteria'!$B$12),O228="GREAT",O228="GOOD"),OR(NOT('Search Criteria'!$B$13),K228="Yes")),"YES","no")</f>
        <v>no</v>
      </c>
      <c r="D228" s="33" t="n">
        <v>2024</v>
      </c>
      <c r="E228" s="8" t="s">
        <v>92</v>
      </c>
      <c r="F228" s="8" t="s">
        <v>236</v>
      </c>
      <c r="G228" s="8" t="s">
        <v>453</v>
      </c>
      <c r="H228" s="45" t="n">
        <v>35150</v>
      </c>
      <c r="I228" s="46" t="n">
        <v>90345</v>
      </c>
      <c r="J228" s="37" t="n">
        <f aca="false">IFERROR(ROUND(I228/MAX(2026-D228,0.5),0),"")</f>
        <v>45173</v>
      </c>
      <c r="K228" s="35" t="s">
        <v>259</v>
      </c>
      <c r="L228" s="35" t="s">
        <v>256</v>
      </c>
      <c r="M228" s="35" t="s">
        <v>302</v>
      </c>
      <c r="N228" s="33" t="n">
        <v>39</v>
      </c>
      <c r="O228" s="35" t="s">
        <v>297</v>
      </c>
      <c r="P228" s="45" t="n">
        <v>28765</v>
      </c>
      <c r="Q228" s="38" t="n">
        <v>-0.222</v>
      </c>
      <c r="R228" s="35" t="s">
        <v>258</v>
      </c>
      <c r="S228" s="45" t="n">
        <v>270</v>
      </c>
      <c r="T228" s="35" t="s">
        <v>255</v>
      </c>
      <c r="U228" s="33" t="n">
        <v>1</v>
      </c>
      <c r="V228" s="35" t="s">
        <v>259</v>
      </c>
      <c r="W228" s="33" t="n">
        <v>10</v>
      </c>
      <c r="X228" s="35" t="s">
        <v>255</v>
      </c>
      <c r="Y228" s="35" t="s">
        <v>255</v>
      </c>
      <c r="Z228" s="35" t="s">
        <v>259</v>
      </c>
      <c r="AA228" s="35" t="s">
        <v>255</v>
      </c>
      <c r="AB228" s="35" t="s">
        <v>255</v>
      </c>
      <c r="AC228" s="35" t="s">
        <v>255</v>
      </c>
      <c r="AD228" s="35" t="s">
        <v>255</v>
      </c>
      <c r="AE228" s="35" t="s">
        <v>259</v>
      </c>
      <c r="AF228" s="35" t="s">
        <v>255</v>
      </c>
      <c r="AG228" s="35" t="s">
        <v>259</v>
      </c>
      <c r="AH228" s="35" t="s">
        <v>259</v>
      </c>
      <c r="AI228" s="35" t="s">
        <v>255</v>
      </c>
      <c r="AJ228" s="35" t="s">
        <v>259</v>
      </c>
      <c r="AK228" s="8" t="s">
        <v>261</v>
      </c>
      <c r="AL228" s="8" t="s">
        <v>261</v>
      </c>
      <c r="AM228" s="8" t="s">
        <v>278</v>
      </c>
      <c r="AN228" s="8" t="s">
        <v>339</v>
      </c>
      <c r="AO228" s="8" t="s">
        <v>340</v>
      </c>
      <c r="AP228" s="35" t="s">
        <v>265</v>
      </c>
      <c r="AQ228" s="39" t="n">
        <v>59.9</v>
      </c>
      <c r="AR228" s="39" t="n">
        <v>4.5</v>
      </c>
      <c r="AS228" s="33" t="n">
        <v>3</v>
      </c>
      <c r="AT228" s="45"/>
      <c r="AU228" s="45" t="n">
        <v>627.9</v>
      </c>
      <c r="AV228" s="45" t="n">
        <v>262</v>
      </c>
      <c r="AW228" s="39" t="n">
        <v>94.4</v>
      </c>
      <c r="AX228" s="39" t="n">
        <v>30.3</v>
      </c>
      <c r="AY228" s="39" t="n">
        <v>6.8</v>
      </c>
      <c r="AZ228" s="39" t="n">
        <v>62</v>
      </c>
      <c r="BA228" s="39" t="n">
        <v>0</v>
      </c>
      <c r="BB228" s="39" t="n">
        <v>20.2</v>
      </c>
      <c r="BC228" s="8" t="s">
        <v>826</v>
      </c>
      <c r="BD228" s="47" t="s">
        <v>346</v>
      </c>
      <c r="BE228" s="41" t="s">
        <v>827</v>
      </c>
    </row>
    <row r="229" customFormat="false" ht="15" hidden="false" customHeight="false" outlineLevel="0" collapsed="false">
      <c r="A229" s="33" t="n">
        <f aca="false">RANK(B229,$B$5:$B$266)</f>
        <v>224</v>
      </c>
      <c r="B229" s="34" t="n">
        <f aca="false">ROUND((AW229*'Scoring Weights'!$B$5+AX229*'Scoring Weights'!$B$6+AY229*'Scoring Weights'!$B$7+BA229*'Scoring Weights'!$B$8+AZ229*'Scoring Weights'!$B$9+BB229*'Scoring Weights'!$B$10)/MAX('Scoring Weights'!$B$11,1),1)</f>
        <v>42.1</v>
      </c>
      <c r="C229" s="35" t="str">
        <f aca="false">IF(AND(H229&lt;='Search Criteria'!$B$5,D229&gt;='Search Criteria'!$B$6,AQ229&lt;='Search Criteria'!$B$7,I229&lt;=INDEX('Search Criteria'!$B$18:$B$20,MATCH(E229,'Search Criteria'!$A$18:$A$20,0)),OR(NOT('Search Criteria'!$B$8),L229&lt;&gt;"FWD"),OR(NOT('Search Criteria'!$B$9),T229="Yes"),OR(NOT('Search Criteria'!$B$10),W229&gt;0),OR(NOT('Search Criteria'!$B$11),X229="Yes"),OR(NOT('Search Criteria'!$B$12),O229="GREAT",O229="GOOD"),OR(NOT('Search Criteria'!$B$13),K229="Yes")),"YES","no")</f>
        <v>no</v>
      </c>
      <c r="D229" s="33" t="n">
        <v>2025</v>
      </c>
      <c r="E229" s="8" t="s">
        <v>92</v>
      </c>
      <c r="F229" s="8" t="s">
        <v>236</v>
      </c>
      <c r="G229" s="8" t="s">
        <v>296</v>
      </c>
      <c r="H229" s="45" t="n">
        <v>35929</v>
      </c>
      <c r="I229" s="46" t="n">
        <v>39868</v>
      </c>
      <c r="J229" s="37" t="n">
        <f aca="false">IFERROR(ROUND(I229/MAX(2026-D229,0.5),0),"")</f>
        <v>39868</v>
      </c>
      <c r="K229" s="35" t="s">
        <v>259</v>
      </c>
      <c r="L229" s="35" t="s">
        <v>256</v>
      </c>
      <c r="M229" s="35" t="s">
        <v>302</v>
      </c>
      <c r="N229" s="33" t="n">
        <v>39</v>
      </c>
      <c r="O229" s="35" t="s">
        <v>276</v>
      </c>
      <c r="P229" s="45" t="n">
        <v>33989</v>
      </c>
      <c r="Q229" s="38" t="n">
        <v>-0.057</v>
      </c>
      <c r="R229" s="35" t="s">
        <v>286</v>
      </c>
      <c r="S229" s="45" t="n">
        <v>430</v>
      </c>
      <c r="T229" s="35" t="s">
        <v>255</v>
      </c>
      <c r="U229" s="33" t="n">
        <v>1</v>
      </c>
      <c r="V229" s="35" t="s">
        <v>259</v>
      </c>
      <c r="W229" s="33" t="n">
        <v>1</v>
      </c>
      <c r="X229" s="35" t="s">
        <v>259</v>
      </c>
      <c r="Y229" s="35" t="s">
        <v>255</v>
      </c>
      <c r="Z229" s="35" t="s">
        <v>259</v>
      </c>
      <c r="AA229" s="35" t="s">
        <v>259</v>
      </c>
      <c r="AB229" s="35" t="s">
        <v>255</v>
      </c>
      <c r="AC229" s="35" t="s">
        <v>259</v>
      </c>
      <c r="AD229" s="35" t="s">
        <v>259</v>
      </c>
      <c r="AE229" s="35" t="s">
        <v>259</v>
      </c>
      <c r="AF229" s="35" t="s">
        <v>259</v>
      </c>
      <c r="AG229" s="35" t="s">
        <v>259</v>
      </c>
      <c r="AH229" s="35" t="s">
        <v>259</v>
      </c>
      <c r="AI229" s="35" t="s">
        <v>255</v>
      </c>
      <c r="AJ229" s="35" t="s">
        <v>259</v>
      </c>
      <c r="AK229" s="8" t="s">
        <v>358</v>
      </c>
      <c r="AL229" s="8" t="s">
        <v>261</v>
      </c>
      <c r="AM229" s="8" t="s">
        <v>278</v>
      </c>
      <c r="AN229" s="8" t="s">
        <v>731</v>
      </c>
      <c r="AO229" s="8" t="s">
        <v>264</v>
      </c>
      <c r="AP229" s="35" t="s">
        <v>265</v>
      </c>
      <c r="AQ229" s="39" t="n">
        <v>0.3</v>
      </c>
      <c r="AR229" s="39" t="n">
        <v>4.7</v>
      </c>
      <c r="AS229" s="33" t="n">
        <v>20</v>
      </c>
      <c r="AT229" s="45"/>
      <c r="AU229" s="45" t="n">
        <v>641.82</v>
      </c>
      <c r="AV229" s="45"/>
      <c r="AW229" s="39" t="n">
        <v>64.5</v>
      </c>
      <c r="AX229" s="39" t="n">
        <v>48</v>
      </c>
      <c r="AY229" s="39" t="n">
        <v>42.1</v>
      </c>
      <c r="AZ229" s="39" t="n">
        <v>16</v>
      </c>
      <c r="BA229" s="39" t="n">
        <v>0</v>
      </c>
      <c r="BB229" s="39" t="n">
        <v>99.5</v>
      </c>
      <c r="BC229" s="8" t="s">
        <v>828</v>
      </c>
      <c r="BD229" s="47" t="s">
        <v>290</v>
      </c>
      <c r="BE229" s="41" t="s">
        <v>829</v>
      </c>
    </row>
    <row r="230" customFormat="false" ht="15" hidden="false" customHeight="false" outlineLevel="0" collapsed="false">
      <c r="A230" s="33" t="n">
        <f aca="false">RANK(B230,$B$5:$B$266)</f>
        <v>226</v>
      </c>
      <c r="B230" s="34" t="n">
        <f aca="false">ROUND((AW230*'Scoring Weights'!$B$5+AX230*'Scoring Weights'!$B$6+AY230*'Scoring Weights'!$B$7+BA230*'Scoring Weights'!$B$8+AZ230*'Scoring Weights'!$B$9+BB230*'Scoring Weights'!$B$10)/MAX('Scoring Weights'!$B$11,1),1)</f>
        <v>42</v>
      </c>
      <c r="C230" s="35" t="str">
        <f aca="false">IF(AND(H230&lt;='Search Criteria'!$B$5,D230&gt;='Search Criteria'!$B$6,AQ230&lt;='Search Criteria'!$B$7,I230&lt;=INDEX('Search Criteria'!$B$18:$B$20,MATCH(E230,'Search Criteria'!$A$18:$A$20,0)),OR(NOT('Search Criteria'!$B$8),L230&lt;&gt;"FWD"),OR(NOT('Search Criteria'!$B$9),T230="Yes"),OR(NOT('Search Criteria'!$B$10),W230&gt;0),OR(NOT('Search Criteria'!$B$11),X230="Yes"),OR(NOT('Search Criteria'!$B$12),O230="GREAT",O230="GOOD"),OR(NOT('Search Criteria'!$B$13),K230="Yes")),"YES","no")</f>
        <v>no</v>
      </c>
      <c r="D230" s="33" t="n">
        <v>2025</v>
      </c>
      <c r="E230" s="8" t="s">
        <v>92</v>
      </c>
      <c r="F230" s="8" t="s">
        <v>236</v>
      </c>
      <c r="G230" s="8" t="s">
        <v>296</v>
      </c>
      <c r="H230" s="45" t="n">
        <v>35954</v>
      </c>
      <c r="I230" s="46" t="n">
        <v>37557</v>
      </c>
      <c r="J230" s="37" t="n">
        <f aca="false">IFERROR(ROUND(I230/MAX(2026-D230,0.5),0),"")</f>
        <v>37557</v>
      </c>
      <c r="K230" s="35" t="s">
        <v>259</v>
      </c>
      <c r="L230" s="35" t="s">
        <v>256</v>
      </c>
      <c r="M230" s="35" t="s">
        <v>302</v>
      </c>
      <c r="N230" s="33" t="n">
        <v>39</v>
      </c>
      <c r="O230" s="35" t="s">
        <v>297</v>
      </c>
      <c r="P230" s="45" t="n">
        <v>34173</v>
      </c>
      <c r="Q230" s="38" t="n">
        <v>-0.052</v>
      </c>
      <c r="R230" s="35" t="s">
        <v>286</v>
      </c>
      <c r="S230" s="45" t="n">
        <v>140</v>
      </c>
      <c r="T230" s="35" t="s">
        <v>255</v>
      </c>
      <c r="U230" s="33" t="n">
        <v>1</v>
      </c>
      <c r="V230" s="35" t="s">
        <v>259</v>
      </c>
      <c r="W230" s="33" t="n">
        <v>0</v>
      </c>
      <c r="X230" s="35" t="s">
        <v>259</v>
      </c>
      <c r="Y230" s="35" t="s">
        <v>255</v>
      </c>
      <c r="Z230" s="35" t="s">
        <v>259</v>
      </c>
      <c r="AA230" s="35" t="s">
        <v>259</v>
      </c>
      <c r="AB230" s="35" t="s">
        <v>255</v>
      </c>
      <c r="AC230" s="35" t="s">
        <v>259</v>
      </c>
      <c r="AD230" s="35" t="s">
        <v>259</v>
      </c>
      <c r="AE230" s="35" t="s">
        <v>259</v>
      </c>
      <c r="AF230" s="35" t="s">
        <v>259</v>
      </c>
      <c r="AG230" s="35" t="s">
        <v>259</v>
      </c>
      <c r="AH230" s="35" t="s">
        <v>259</v>
      </c>
      <c r="AI230" s="35" t="s">
        <v>255</v>
      </c>
      <c r="AJ230" s="35" t="s">
        <v>259</v>
      </c>
      <c r="AK230" s="8" t="s">
        <v>261</v>
      </c>
      <c r="AL230" s="8" t="s">
        <v>261</v>
      </c>
      <c r="AM230" s="8" t="s">
        <v>278</v>
      </c>
      <c r="AN230" s="8" t="s">
        <v>362</v>
      </c>
      <c r="AO230" s="8" t="s">
        <v>363</v>
      </c>
      <c r="AP230" s="35" t="s">
        <v>265</v>
      </c>
      <c r="AQ230" s="39" t="n">
        <v>7.6</v>
      </c>
      <c r="AR230" s="39" t="n">
        <v>4.7</v>
      </c>
      <c r="AS230" s="33" t="n">
        <v>18</v>
      </c>
      <c r="AT230" s="45"/>
      <c r="AU230" s="45" t="n">
        <v>642.27</v>
      </c>
      <c r="AV230" s="45" t="n">
        <v>250</v>
      </c>
      <c r="AW230" s="39" t="n">
        <v>67.5</v>
      </c>
      <c r="AX230" s="39" t="n">
        <v>44.9</v>
      </c>
      <c r="AY230" s="39" t="n">
        <v>43.7</v>
      </c>
      <c r="AZ230" s="39" t="n">
        <v>16</v>
      </c>
      <c r="BA230" s="39" t="n">
        <v>0</v>
      </c>
      <c r="BB230" s="39" t="n">
        <v>89.9</v>
      </c>
      <c r="BC230" s="8" t="s">
        <v>830</v>
      </c>
      <c r="BD230" s="47" t="s">
        <v>290</v>
      </c>
      <c r="BE230" s="41" t="s">
        <v>831</v>
      </c>
    </row>
    <row r="231" customFormat="false" ht="15" hidden="false" customHeight="false" outlineLevel="0" collapsed="false">
      <c r="A231" s="33" t="n">
        <f aca="false">RANK(B231,$B$5:$B$266)</f>
        <v>227</v>
      </c>
      <c r="B231" s="34" t="n">
        <f aca="false">ROUND((AW231*'Scoring Weights'!$B$5+AX231*'Scoring Weights'!$B$6+AY231*'Scoring Weights'!$B$7+BA231*'Scoring Weights'!$B$8+AZ231*'Scoring Weights'!$B$9+BB231*'Scoring Weights'!$B$10)/MAX('Scoring Weights'!$B$11,1),1)</f>
        <v>41.9</v>
      </c>
      <c r="C231" s="35" t="str">
        <f aca="false">IF(AND(H231&lt;='Search Criteria'!$B$5,D231&gt;='Search Criteria'!$B$6,AQ231&lt;='Search Criteria'!$B$7,I231&lt;=INDEX('Search Criteria'!$B$18:$B$20,MATCH(E231,'Search Criteria'!$A$18:$A$20,0)),OR(NOT('Search Criteria'!$B$8),L231&lt;&gt;"FWD"),OR(NOT('Search Criteria'!$B$9),T231="Yes"),OR(NOT('Search Criteria'!$B$10),W231&gt;0),OR(NOT('Search Criteria'!$B$11),X231="Yes"),OR(NOT('Search Criteria'!$B$12),O231="GREAT",O231="GOOD"),OR(NOT('Search Criteria'!$B$13),K231="Yes")),"YES","no")</f>
        <v>no</v>
      </c>
      <c r="D231" s="33" t="n">
        <v>2022</v>
      </c>
      <c r="E231" s="8" t="s">
        <v>92</v>
      </c>
      <c r="F231" s="8" t="s">
        <v>236</v>
      </c>
      <c r="G231" s="8" t="s">
        <v>296</v>
      </c>
      <c r="H231" s="45" t="n">
        <v>30890</v>
      </c>
      <c r="I231" s="46" t="n">
        <v>59747</v>
      </c>
      <c r="J231" s="37" t="n">
        <f aca="false">IFERROR(ROUND(I231/MAX(2026-D231,0.5),0),"")</f>
        <v>14937</v>
      </c>
      <c r="K231" s="35" t="s">
        <v>259</v>
      </c>
      <c r="L231" s="35" t="s">
        <v>256</v>
      </c>
      <c r="M231" s="35" t="s">
        <v>302</v>
      </c>
      <c r="N231" s="33" t="n">
        <v>40</v>
      </c>
      <c r="O231" s="35" t="s">
        <v>297</v>
      </c>
      <c r="P231" s="45" t="n">
        <v>28819</v>
      </c>
      <c r="Q231" s="38" t="n">
        <v>-0.072</v>
      </c>
      <c r="R231" s="35" t="s">
        <v>258</v>
      </c>
      <c r="S231" s="45" t="n">
        <v>750</v>
      </c>
      <c r="T231" s="35" t="s">
        <v>259</v>
      </c>
      <c r="U231" s="33" t="n">
        <v>1</v>
      </c>
      <c r="V231" s="35" t="s">
        <v>259</v>
      </c>
      <c r="W231" s="33" t="n">
        <v>13</v>
      </c>
      <c r="X231" s="35" t="s">
        <v>259</v>
      </c>
      <c r="Y231" s="35" t="s">
        <v>255</v>
      </c>
      <c r="Z231" s="35" t="s">
        <v>259</v>
      </c>
      <c r="AA231" s="35" t="s">
        <v>255</v>
      </c>
      <c r="AB231" s="35" t="s">
        <v>255</v>
      </c>
      <c r="AC231" s="35" t="s">
        <v>255</v>
      </c>
      <c r="AD231" s="35" t="s">
        <v>259</v>
      </c>
      <c r="AE231" s="35" t="s">
        <v>259</v>
      </c>
      <c r="AF231" s="35" t="s">
        <v>259</v>
      </c>
      <c r="AG231" s="35" t="s">
        <v>259</v>
      </c>
      <c r="AH231" s="35" t="s">
        <v>259</v>
      </c>
      <c r="AI231" s="35" t="s">
        <v>255</v>
      </c>
      <c r="AJ231" s="35" t="s">
        <v>259</v>
      </c>
      <c r="AK231" s="8" t="s">
        <v>292</v>
      </c>
      <c r="AL231" s="8" t="s">
        <v>260</v>
      </c>
      <c r="AM231" s="8" t="s">
        <v>278</v>
      </c>
      <c r="AN231" s="8" t="s">
        <v>832</v>
      </c>
      <c r="AO231" s="8" t="s">
        <v>833</v>
      </c>
      <c r="AP231" s="35" t="s">
        <v>265</v>
      </c>
      <c r="AQ231" s="39" t="n">
        <v>68.8</v>
      </c>
      <c r="AR231" s="39" t="n">
        <v>4.7</v>
      </c>
      <c r="AS231" s="33" t="n">
        <v>26</v>
      </c>
      <c r="AT231" s="45"/>
      <c r="AU231" s="45" t="n">
        <v>551.81</v>
      </c>
      <c r="AV231" s="45" t="n">
        <v>290</v>
      </c>
      <c r="AW231" s="39" t="n">
        <v>76.6</v>
      </c>
      <c r="AX231" s="39" t="n">
        <v>42</v>
      </c>
      <c r="AY231" s="39" t="n">
        <v>35.8</v>
      </c>
      <c r="AZ231" s="39" t="n">
        <v>42</v>
      </c>
      <c r="BA231" s="39" t="n">
        <v>0</v>
      </c>
      <c r="BB231" s="39" t="n">
        <v>8.3</v>
      </c>
      <c r="BC231" s="8" t="s">
        <v>834</v>
      </c>
      <c r="BD231" s="47" t="s">
        <v>365</v>
      </c>
      <c r="BE231" s="41" t="s">
        <v>835</v>
      </c>
    </row>
    <row r="232" customFormat="false" ht="15" hidden="false" customHeight="false" outlineLevel="0" collapsed="false">
      <c r="A232" s="33" t="n">
        <f aca="false">RANK(B232,$B$5:$B$266)</f>
        <v>228</v>
      </c>
      <c r="B232" s="34" t="n">
        <f aca="false">ROUND((AW232*'Scoring Weights'!$B$5+AX232*'Scoring Weights'!$B$6+AY232*'Scoring Weights'!$B$7+BA232*'Scoring Weights'!$B$8+AZ232*'Scoring Weights'!$B$9+BB232*'Scoring Weights'!$B$10)/MAX('Scoring Weights'!$B$11,1),1)</f>
        <v>41.8</v>
      </c>
      <c r="C232" s="35" t="str">
        <f aca="false">IF(AND(H232&lt;='Search Criteria'!$B$5,D232&gt;='Search Criteria'!$B$6,AQ232&lt;='Search Criteria'!$B$7,I232&lt;=INDEX('Search Criteria'!$B$18:$B$20,MATCH(E232,'Search Criteria'!$A$18:$A$20,0)),OR(NOT('Search Criteria'!$B$8),L232&lt;&gt;"FWD"),OR(NOT('Search Criteria'!$B$9),T232="Yes"),OR(NOT('Search Criteria'!$B$10),W232&gt;0),OR(NOT('Search Criteria'!$B$11),X232="Yes"),OR(NOT('Search Criteria'!$B$12),O232="GREAT",O232="GOOD"),OR(NOT('Search Criteria'!$B$13),K232="Yes")),"YES","no")</f>
        <v>no</v>
      </c>
      <c r="D232" s="33" t="n">
        <v>2023</v>
      </c>
      <c r="E232" s="8" t="s">
        <v>92</v>
      </c>
      <c r="F232" s="8" t="s">
        <v>236</v>
      </c>
      <c r="G232" s="8" t="s">
        <v>296</v>
      </c>
      <c r="H232" s="45" t="n">
        <v>27014</v>
      </c>
      <c r="I232" s="46" t="n">
        <v>105914</v>
      </c>
      <c r="J232" s="37" t="n">
        <f aca="false">IFERROR(ROUND(I232/MAX(2026-D232,0.5),0),"")</f>
        <v>35305</v>
      </c>
      <c r="K232" s="35" t="s">
        <v>259</v>
      </c>
      <c r="L232" s="35" t="s">
        <v>256</v>
      </c>
      <c r="M232" s="35" t="s">
        <v>302</v>
      </c>
      <c r="N232" s="33" t="n">
        <v>40</v>
      </c>
      <c r="O232" s="35" t="s">
        <v>276</v>
      </c>
      <c r="P232" s="45" t="n">
        <v>26328</v>
      </c>
      <c r="Q232" s="38" t="n">
        <v>-0.026</v>
      </c>
      <c r="R232" s="35" t="s">
        <v>258</v>
      </c>
      <c r="S232" s="45" t="n">
        <v>530</v>
      </c>
      <c r="T232" s="35" t="s">
        <v>255</v>
      </c>
      <c r="U232" s="33" t="n">
        <v>1</v>
      </c>
      <c r="V232" s="35" t="s">
        <v>259</v>
      </c>
      <c r="W232" s="33" t="n">
        <v>13</v>
      </c>
      <c r="X232" s="35" t="s">
        <v>259</v>
      </c>
      <c r="Y232" s="35" t="s">
        <v>255</v>
      </c>
      <c r="Z232" s="35" t="s">
        <v>259</v>
      </c>
      <c r="AA232" s="35" t="s">
        <v>255</v>
      </c>
      <c r="AB232" s="35" t="s">
        <v>255</v>
      </c>
      <c r="AC232" s="35" t="s">
        <v>255</v>
      </c>
      <c r="AD232" s="35" t="s">
        <v>259</v>
      </c>
      <c r="AE232" s="35" t="s">
        <v>259</v>
      </c>
      <c r="AF232" s="35" t="s">
        <v>259</v>
      </c>
      <c r="AG232" s="35" t="s">
        <v>259</v>
      </c>
      <c r="AH232" s="35" t="s">
        <v>259</v>
      </c>
      <c r="AI232" s="35" t="s">
        <v>255</v>
      </c>
      <c r="AJ232" s="35" t="s">
        <v>259</v>
      </c>
      <c r="AK232" s="8" t="s">
        <v>358</v>
      </c>
      <c r="AL232" s="8" t="s">
        <v>287</v>
      </c>
      <c r="AM232" s="8" t="s">
        <v>278</v>
      </c>
      <c r="AN232" s="8" t="s">
        <v>533</v>
      </c>
      <c r="AO232" s="8" t="s">
        <v>506</v>
      </c>
      <c r="AP232" s="35" t="s">
        <v>272</v>
      </c>
      <c r="AQ232" s="39" t="n">
        <v>52.6</v>
      </c>
      <c r="AR232" s="39" t="n">
        <v>4.5</v>
      </c>
      <c r="AS232" s="33" t="n">
        <v>34</v>
      </c>
      <c r="AT232" s="45"/>
      <c r="AU232" s="45" t="n">
        <v>482.57</v>
      </c>
      <c r="AV232" s="45" t="n">
        <v>314</v>
      </c>
      <c r="AW232" s="39" t="n">
        <v>87.7</v>
      </c>
      <c r="AX232" s="39" t="n">
        <v>52.7</v>
      </c>
      <c r="AY232" s="39" t="n">
        <v>0</v>
      </c>
      <c r="AZ232" s="39" t="n">
        <v>42</v>
      </c>
      <c r="BA232" s="39" t="n">
        <v>0</v>
      </c>
      <c r="BB232" s="39" t="n">
        <v>29.9</v>
      </c>
      <c r="BC232" s="8" t="s">
        <v>836</v>
      </c>
      <c r="BD232" s="47" t="s">
        <v>451</v>
      </c>
      <c r="BE232" s="41" t="s">
        <v>837</v>
      </c>
    </row>
    <row r="233" customFormat="false" ht="15" hidden="false" customHeight="false" outlineLevel="0" collapsed="false">
      <c r="A233" s="33" t="n">
        <f aca="false">RANK(B233,$B$5:$B$266)</f>
        <v>229</v>
      </c>
      <c r="B233" s="34" t="n">
        <f aca="false">ROUND((AW233*'Scoring Weights'!$B$5+AX233*'Scoring Weights'!$B$6+AY233*'Scoring Weights'!$B$7+BA233*'Scoring Weights'!$B$8+AZ233*'Scoring Weights'!$B$9+BB233*'Scoring Weights'!$B$10)/MAX('Scoring Weights'!$B$11,1),1)</f>
        <v>41.7</v>
      </c>
      <c r="C233" s="35" t="str">
        <f aca="false">IF(AND(H233&lt;='Search Criteria'!$B$5,D233&gt;='Search Criteria'!$B$6,AQ233&lt;='Search Criteria'!$B$7,I233&lt;=INDEX('Search Criteria'!$B$18:$B$20,MATCH(E233,'Search Criteria'!$A$18:$A$20,0)),OR(NOT('Search Criteria'!$B$8),L233&lt;&gt;"FWD"),OR(NOT('Search Criteria'!$B$9),T233="Yes"),OR(NOT('Search Criteria'!$B$10),W233&gt;0),OR(NOT('Search Criteria'!$B$11),X233="Yes"),OR(NOT('Search Criteria'!$B$12),O233="GREAT",O233="GOOD"),OR(NOT('Search Criteria'!$B$13),K233="Yes")),"YES","no")</f>
        <v>no</v>
      </c>
      <c r="D233" s="33" t="n">
        <v>2024</v>
      </c>
      <c r="E233" s="8" t="s">
        <v>94</v>
      </c>
      <c r="F233" s="8" t="s">
        <v>233</v>
      </c>
      <c r="G233" s="8" t="s">
        <v>319</v>
      </c>
      <c r="H233" s="45" t="n">
        <v>24809</v>
      </c>
      <c r="I233" s="46" t="n">
        <v>44612</v>
      </c>
      <c r="J233" s="37" t="n">
        <f aca="false">IFERROR(ROUND(I233/MAX(2026-D233,0.5),0),"")</f>
        <v>22306</v>
      </c>
      <c r="K233" s="35" t="s">
        <v>259</v>
      </c>
      <c r="L233" s="35" t="s">
        <v>256</v>
      </c>
      <c r="M233" s="35" t="s">
        <v>257</v>
      </c>
      <c r="N233" s="33" t="n">
        <v>27</v>
      </c>
      <c r="O233" s="35" t="s">
        <v>297</v>
      </c>
      <c r="P233" s="45" t="n">
        <v>25582</v>
      </c>
      <c r="Q233" s="38" t="n">
        <v>0.03</v>
      </c>
      <c r="R233" s="35" t="s">
        <v>258</v>
      </c>
      <c r="S233" s="45" t="n">
        <v>670</v>
      </c>
      <c r="T233" s="35" t="s">
        <v>255</v>
      </c>
      <c r="U233" s="33" t="n">
        <v>1</v>
      </c>
      <c r="V233" s="35" t="s">
        <v>255</v>
      </c>
      <c r="W233" s="33" t="n">
        <v>8</v>
      </c>
      <c r="X233" s="35" t="s">
        <v>259</v>
      </c>
      <c r="Y233" s="35" t="s">
        <v>255</v>
      </c>
      <c r="Z233" s="35" t="s">
        <v>259</v>
      </c>
      <c r="AA233" s="35" t="s">
        <v>259</v>
      </c>
      <c r="AB233" s="35" t="s">
        <v>259</v>
      </c>
      <c r="AC233" s="35" t="s">
        <v>259</v>
      </c>
      <c r="AD233" s="35" t="s">
        <v>259</v>
      </c>
      <c r="AE233" s="35" t="s">
        <v>259</v>
      </c>
      <c r="AF233" s="35" t="s">
        <v>259</v>
      </c>
      <c r="AG233" s="35" t="s">
        <v>259</v>
      </c>
      <c r="AH233" s="35" t="s">
        <v>259</v>
      </c>
      <c r="AI233" s="35" t="s">
        <v>259</v>
      </c>
      <c r="AJ233" s="35" t="s">
        <v>259</v>
      </c>
      <c r="AK233" s="8" t="s">
        <v>269</v>
      </c>
      <c r="AL233" s="8" t="s">
        <v>260</v>
      </c>
      <c r="AM233" s="8" t="s">
        <v>303</v>
      </c>
      <c r="AN233" s="8" t="s">
        <v>270</v>
      </c>
      <c r="AO233" s="8" t="s">
        <v>271</v>
      </c>
      <c r="AP233" s="35" t="s">
        <v>272</v>
      </c>
      <c r="AQ233" s="39" t="n">
        <v>71</v>
      </c>
      <c r="AR233" s="39" t="n">
        <v>4.7</v>
      </c>
      <c r="AS233" s="33" t="n">
        <v>18</v>
      </c>
      <c r="AT233" s="45"/>
      <c r="AU233" s="45" t="n">
        <v>443.18</v>
      </c>
      <c r="AV233" s="45" t="n">
        <v>314</v>
      </c>
      <c r="AW233" s="39" t="n">
        <v>93.4</v>
      </c>
      <c r="AX233" s="39" t="n">
        <v>57.3</v>
      </c>
      <c r="AY233" s="39" t="n">
        <v>25.4</v>
      </c>
      <c r="AZ233" s="39" t="n">
        <v>0</v>
      </c>
      <c r="BA233" s="39" t="n">
        <v>0</v>
      </c>
      <c r="BB233" s="39" t="n">
        <v>5.4</v>
      </c>
      <c r="BC233" s="8" t="s">
        <v>838</v>
      </c>
      <c r="BD233" s="47" t="s">
        <v>323</v>
      </c>
      <c r="BE233" s="41" t="s">
        <v>839</v>
      </c>
    </row>
    <row r="234" customFormat="false" ht="15" hidden="false" customHeight="false" outlineLevel="0" collapsed="false">
      <c r="A234" s="33" t="n">
        <f aca="false">RANK(B234,$B$5:$B$266)</f>
        <v>229</v>
      </c>
      <c r="B234" s="34" t="n">
        <f aca="false">ROUND((AW234*'Scoring Weights'!$B$5+AX234*'Scoring Weights'!$B$6+AY234*'Scoring Weights'!$B$7+BA234*'Scoring Weights'!$B$8+AZ234*'Scoring Weights'!$B$9+BB234*'Scoring Weights'!$B$10)/MAX('Scoring Weights'!$B$11,1),1)</f>
        <v>41.7</v>
      </c>
      <c r="C234" s="35" t="str">
        <f aca="false">IF(AND(H234&lt;='Search Criteria'!$B$5,D234&gt;='Search Criteria'!$B$6,AQ234&lt;='Search Criteria'!$B$7,I234&lt;=INDEX('Search Criteria'!$B$18:$B$20,MATCH(E234,'Search Criteria'!$A$18:$A$20,0)),OR(NOT('Search Criteria'!$B$8),L234&lt;&gt;"FWD"),OR(NOT('Search Criteria'!$B$9),T234="Yes"),OR(NOT('Search Criteria'!$B$10),W234&gt;0),OR(NOT('Search Criteria'!$B$11),X234="Yes"),OR(NOT('Search Criteria'!$B$12),O234="GREAT",O234="GOOD"),OR(NOT('Search Criteria'!$B$13),K234="Yes")),"YES","no")</f>
        <v>no</v>
      </c>
      <c r="D234" s="33" t="n">
        <v>2025</v>
      </c>
      <c r="E234" s="8" t="s">
        <v>92</v>
      </c>
      <c r="F234" s="8" t="s">
        <v>236</v>
      </c>
      <c r="G234" s="8" t="s">
        <v>296</v>
      </c>
      <c r="H234" s="45" t="n">
        <v>34250</v>
      </c>
      <c r="I234" s="46" t="n">
        <v>49785</v>
      </c>
      <c r="J234" s="37" t="n">
        <f aca="false">IFERROR(ROUND(I234/MAX(2026-D234,0.5),0),"")</f>
        <v>49785</v>
      </c>
      <c r="K234" s="35" t="s">
        <v>259</v>
      </c>
      <c r="L234" s="35" t="s">
        <v>256</v>
      </c>
      <c r="M234" s="35" t="s">
        <v>302</v>
      </c>
      <c r="N234" s="33" t="n">
        <v>39</v>
      </c>
      <c r="O234" s="35" t="s">
        <v>286</v>
      </c>
      <c r="P234" s="45" t="n">
        <v>33197</v>
      </c>
      <c r="Q234" s="38" t="n">
        <v>-0.032</v>
      </c>
      <c r="R234" s="35" t="s">
        <v>286</v>
      </c>
      <c r="S234" s="45" t="n">
        <v>570</v>
      </c>
      <c r="T234" s="35" t="s">
        <v>255</v>
      </c>
      <c r="U234" s="33" t="n">
        <v>1</v>
      </c>
      <c r="V234" s="35" t="s">
        <v>259</v>
      </c>
      <c r="W234" s="33" t="n">
        <v>7</v>
      </c>
      <c r="X234" s="35" t="s">
        <v>259</v>
      </c>
      <c r="Y234" s="35" t="s">
        <v>255</v>
      </c>
      <c r="Z234" s="35" t="s">
        <v>259</v>
      </c>
      <c r="AA234" s="35" t="s">
        <v>259</v>
      </c>
      <c r="AB234" s="35" t="s">
        <v>255</v>
      </c>
      <c r="AC234" s="35" t="s">
        <v>259</v>
      </c>
      <c r="AD234" s="35" t="s">
        <v>259</v>
      </c>
      <c r="AE234" s="35" t="s">
        <v>259</v>
      </c>
      <c r="AF234" s="35" t="s">
        <v>259</v>
      </c>
      <c r="AG234" s="35" t="s">
        <v>259</v>
      </c>
      <c r="AH234" s="35" t="s">
        <v>259</v>
      </c>
      <c r="AI234" s="35" t="s">
        <v>255</v>
      </c>
      <c r="AJ234" s="35" t="s">
        <v>259</v>
      </c>
      <c r="AK234" s="8" t="s">
        <v>260</v>
      </c>
      <c r="AL234" s="8" t="s">
        <v>261</v>
      </c>
      <c r="AM234" s="8" t="s">
        <v>278</v>
      </c>
      <c r="AN234" s="8" t="s">
        <v>339</v>
      </c>
      <c r="AO234" s="8" t="s">
        <v>340</v>
      </c>
      <c r="AP234" s="35" t="s">
        <v>265</v>
      </c>
      <c r="AQ234" s="39" t="n">
        <v>59.9</v>
      </c>
      <c r="AR234" s="39" t="n">
        <v>4.5</v>
      </c>
      <c r="AS234" s="33" t="n">
        <v>54</v>
      </c>
      <c r="AT234" s="45"/>
      <c r="AU234" s="45" t="n">
        <v>611.83</v>
      </c>
      <c r="AV234" s="45" t="n">
        <v>262</v>
      </c>
      <c r="AW234" s="39" t="n">
        <v>72.3</v>
      </c>
      <c r="AX234" s="39" t="n">
        <v>60.6</v>
      </c>
      <c r="AY234" s="39" t="n">
        <v>35.2</v>
      </c>
      <c r="AZ234" s="39" t="n">
        <v>16</v>
      </c>
      <c r="BA234" s="39" t="n">
        <v>0</v>
      </c>
      <c r="BB234" s="39" t="n">
        <v>20.2</v>
      </c>
      <c r="BC234" s="8" t="s">
        <v>840</v>
      </c>
      <c r="BD234" s="47" t="s">
        <v>290</v>
      </c>
      <c r="BE234" s="41" t="s">
        <v>841</v>
      </c>
    </row>
    <row r="235" customFormat="false" ht="15" hidden="false" customHeight="false" outlineLevel="0" collapsed="false">
      <c r="A235" s="33" t="n">
        <f aca="false">RANK(B235,$B$5:$B$266)</f>
        <v>231</v>
      </c>
      <c r="B235" s="34" t="n">
        <f aca="false">ROUND((AW235*'Scoring Weights'!$B$5+AX235*'Scoring Weights'!$B$6+AY235*'Scoring Weights'!$B$7+BA235*'Scoring Weights'!$B$8+AZ235*'Scoring Weights'!$B$9+BB235*'Scoring Weights'!$B$10)/MAX('Scoring Weights'!$B$11,1),1)</f>
        <v>41.6</v>
      </c>
      <c r="C235" s="35" t="str">
        <f aca="false">IF(AND(H235&lt;='Search Criteria'!$B$5,D235&gt;='Search Criteria'!$B$6,AQ235&lt;='Search Criteria'!$B$7,I235&lt;=INDEX('Search Criteria'!$B$18:$B$20,MATCH(E235,'Search Criteria'!$A$18:$A$20,0)),OR(NOT('Search Criteria'!$B$8),L235&lt;&gt;"FWD"),OR(NOT('Search Criteria'!$B$9),T235="Yes"),OR(NOT('Search Criteria'!$B$10),W235&gt;0),OR(NOT('Search Criteria'!$B$11),X235="Yes"),OR(NOT('Search Criteria'!$B$12),O235="GREAT",O235="GOOD"),OR(NOT('Search Criteria'!$B$13),K235="Yes")),"YES","no")</f>
        <v>no</v>
      </c>
      <c r="D235" s="33" t="n">
        <v>2022</v>
      </c>
      <c r="E235" s="8" t="s">
        <v>92</v>
      </c>
      <c r="F235" s="8" t="s">
        <v>236</v>
      </c>
      <c r="G235" s="8" t="s">
        <v>296</v>
      </c>
      <c r="H235" s="45" t="n">
        <v>28947</v>
      </c>
      <c r="I235" s="46" t="n">
        <v>81140</v>
      </c>
      <c r="J235" s="37" t="n">
        <f aca="false">IFERROR(ROUND(I235/MAX(2026-D235,0.5),0),"")</f>
        <v>20285</v>
      </c>
      <c r="K235" s="35" t="s">
        <v>259</v>
      </c>
      <c r="L235" s="35" t="s">
        <v>256</v>
      </c>
      <c r="M235" s="35" t="s">
        <v>302</v>
      </c>
      <c r="N235" s="33" t="n">
        <v>40</v>
      </c>
      <c r="O235" s="35" t="s">
        <v>276</v>
      </c>
      <c r="P235" s="45" t="n">
        <v>27111</v>
      </c>
      <c r="Q235" s="38" t="n">
        <v>-0.068</v>
      </c>
      <c r="R235" s="35" t="s">
        <v>258</v>
      </c>
      <c r="S235" s="45" t="n">
        <v>290</v>
      </c>
      <c r="T235" s="35" t="s">
        <v>255</v>
      </c>
      <c r="U235" s="33" t="n">
        <v>2</v>
      </c>
      <c r="V235" s="35" t="s">
        <v>259</v>
      </c>
      <c r="W235" s="33" t="n">
        <v>14</v>
      </c>
      <c r="X235" s="35" t="s">
        <v>259</v>
      </c>
      <c r="Y235" s="35" t="s">
        <v>255</v>
      </c>
      <c r="Z235" s="35" t="s">
        <v>259</v>
      </c>
      <c r="AA235" s="35" t="s">
        <v>259</v>
      </c>
      <c r="AB235" s="35" t="s">
        <v>255</v>
      </c>
      <c r="AC235" s="35" t="s">
        <v>259</v>
      </c>
      <c r="AD235" s="35" t="s">
        <v>259</v>
      </c>
      <c r="AE235" s="35" t="s">
        <v>259</v>
      </c>
      <c r="AF235" s="35" t="s">
        <v>259</v>
      </c>
      <c r="AG235" s="35" t="s">
        <v>259</v>
      </c>
      <c r="AH235" s="35" t="s">
        <v>259</v>
      </c>
      <c r="AI235" s="35" t="s">
        <v>255</v>
      </c>
      <c r="AJ235" s="35" t="s">
        <v>259</v>
      </c>
      <c r="AK235" s="8" t="s">
        <v>269</v>
      </c>
      <c r="AL235" s="8" t="s">
        <v>261</v>
      </c>
      <c r="AM235" s="8" t="s">
        <v>278</v>
      </c>
      <c r="AN235" s="8" t="s">
        <v>362</v>
      </c>
      <c r="AO235" s="8" t="s">
        <v>363</v>
      </c>
      <c r="AP235" s="35" t="s">
        <v>265</v>
      </c>
      <c r="AQ235" s="39" t="n">
        <v>7.6</v>
      </c>
      <c r="AR235" s="39" t="n">
        <v>4.7</v>
      </c>
      <c r="AS235" s="33" t="n">
        <v>27</v>
      </c>
      <c r="AT235" s="45"/>
      <c r="AU235" s="45" t="n">
        <v>517.1</v>
      </c>
      <c r="AV235" s="45" t="n">
        <v>250</v>
      </c>
      <c r="AW235" s="39" t="n">
        <v>85.6</v>
      </c>
      <c r="AX235" s="39" t="n">
        <v>46.4</v>
      </c>
      <c r="AY235" s="39" t="n">
        <v>13.2</v>
      </c>
      <c r="AZ235" s="39" t="n">
        <v>16</v>
      </c>
      <c r="BA235" s="39" t="n">
        <v>0</v>
      </c>
      <c r="BB235" s="39" t="n">
        <v>89.9</v>
      </c>
      <c r="BC235" s="8" t="s">
        <v>842</v>
      </c>
      <c r="BD235" s="47" t="s">
        <v>365</v>
      </c>
      <c r="BE235" s="41" t="s">
        <v>843</v>
      </c>
    </row>
    <row r="236" customFormat="false" ht="15" hidden="false" customHeight="false" outlineLevel="0" collapsed="false">
      <c r="A236" s="33" t="n">
        <f aca="false">RANK(B236,$B$5:$B$266)</f>
        <v>232</v>
      </c>
      <c r="B236" s="34" t="n">
        <f aca="false">ROUND((AW236*'Scoring Weights'!$B$5+AX236*'Scoring Weights'!$B$6+AY236*'Scoring Weights'!$B$7+BA236*'Scoring Weights'!$B$8+AZ236*'Scoring Weights'!$B$9+BB236*'Scoring Weights'!$B$10)/MAX('Scoring Weights'!$B$11,1),1)</f>
        <v>41.4</v>
      </c>
      <c r="C236" s="35" t="str">
        <f aca="false">IF(AND(H236&lt;='Search Criteria'!$B$5,D236&gt;='Search Criteria'!$B$6,AQ236&lt;='Search Criteria'!$B$7,I236&lt;=INDEX('Search Criteria'!$B$18:$B$20,MATCH(E236,'Search Criteria'!$A$18:$A$20,0)),OR(NOT('Search Criteria'!$B$8),L236&lt;&gt;"FWD"),OR(NOT('Search Criteria'!$B$9),T236="Yes"),OR(NOT('Search Criteria'!$B$10),W236&gt;0),OR(NOT('Search Criteria'!$B$11),X236="Yes"),OR(NOT('Search Criteria'!$B$12),O236="GREAT",O236="GOOD"),OR(NOT('Search Criteria'!$B$13),K236="Yes")),"YES","no")</f>
        <v>no</v>
      </c>
      <c r="D236" s="33" t="n">
        <v>2025</v>
      </c>
      <c r="E236" s="8" t="s">
        <v>92</v>
      </c>
      <c r="F236" s="8" t="s">
        <v>236</v>
      </c>
      <c r="G236" s="8" t="s">
        <v>296</v>
      </c>
      <c r="H236" s="45" t="n">
        <v>34314</v>
      </c>
      <c r="I236" s="46" t="n">
        <v>55274</v>
      </c>
      <c r="J236" s="37" t="n">
        <f aca="false">IFERROR(ROUND(I236/MAX(2026-D236,0.5),0),"")</f>
        <v>55274</v>
      </c>
      <c r="K236" s="35" t="s">
        <v>259</v>
      </c>
      <c r="L236" s="35" t="s">
        <v>256</v>
      </c>
      <c r="M236" s="35" t="s">
        <v>302</v>
      </c>
      <c r="N236" s="33" t="n">
        <v>39</v>
      </c>
      <c r="O236" s="35" t="s">
        <v>297</v>
      </c>
      <c r="P236" s="45" t="n">
        <v>32759</v>
      </c>
      <c r="Q236" s="38" t="n">
        <v>-0.047</v>
      </c>
      <c r="R236" s="35" t="s">
        <v>258</v>
      </c>
      <c r="S236" s="45" t="n">
        <v>480</v>
      </c>
      <c r="T236" s="35" t="s">
        <v>255</v>
      </c>
      <c r="U236" s="33" t="n">
        <v>1</v>
      </c>
      <c r="V236" s="35" t="s">
        <v>259</v>
      </c>
      <c r="W236" s="33" t="n">
        <v>3</v>
      </c>
      <c r="X236" s="35" t="s">
        <v>259</v>
      </c>
      <c r="Y236" s="35" t="s">
        <v>255</v>
      </c>
      <c r="Z236" s="35" t="s">
        <v>259</v>
      </c>
      <c r="AA236" s="35" t="s">
        <v>259</v>
      </c>
      <c r="AB236" s="35" t="s">
        <v>255</v>
      </c>
      <c r="AC236" s="35" t="s">
        <v>259</v>
      </c>
      <c r="AD236" s="35" t="s">
        <v>259</v>
      </c>
      <c r="AE236" s="35" t="s">
        <v>259</v>
      </c>
      <c r="AF236" s="35" t="s">
        <v>259</v>
      </c>
      <c r="AG236" s="35" t="s">
        <v>259</v>
      </c>
      <c r="AH236" s="35" t="s">
        <v>259</v>
      </c>
      <c r="AI236" s="35" t="s">
        <v>255</v>
      </c>
      <c r="AJ236" s="35" t="s">
        <v>259</v>
      </c>
      <c r="AK236" s="8" t="s">
        <v>261</v>
      </c>
      <c r="AL236" s="8" t="s">
        <v>261</v>
      </c>
      <c r="AM236" s="8" t="s">
        <v>278</v>
      </c>
      <c r="AN236" s="8" t="s">
        <v>315</v>
      </c>
      <c r="AO236" s="8" t="s">
        <v>294</v>
      </c>
      <c r="AP236" s="35" t="s">
        <v>272</v>
      </c>
      <c r="AQ236" s="39" t="n">
        <v>41.6</v>
      </c>
      <c r="AR236" s="39" t="n">
        <v>4.6</v>
      </c>
      <c r="AS236" s="33" t="n">
        <v>25</v>
      </c>
      <c r="AT236" s="45"/>
      <c r="AU236" s="45" t="n">
        <v>612.97</v>
      </c>
      <c r="AV236" s="45" t="n">
        <v>314</v>
      </c>
      <c r="AW236" s="39" t="n">
        <v>81.8</v>
      </c>
      <c r="AX236" s="39" t="n">
        <v>45.6</v>
      </c>
      <c r="AY236" s="39" t="n">
        <v>31.3</v>
      </c>
      <c r="AZ236" s="39" t="n">
        <v>16</v>
      </c>
      <c r="BA236" s="39" t="n">
        <v>0</v>
      </c>
      <c r="BB236" s="39" t="n">
        <v>44.5</v>
      </c>
      <c r="BC236" s="8" t="s">
        <v>844</v>
      </c>
      <c r="BD236" s="47" t="s">
        <v>290</v>
      </c>
      <c r="BE236" s="41" t="s">
        <v>845</v>
      </c>
    </row>
    <row r="237" customFormat="false" ht="15" hidden="false" customHeight="false" outlineLevel="0" collapsed="false">
      <c r="A237" s="33" t="n">
        <f aca="false">RANK(B237,$B$5:$B$266)</f>
        <v>233</v>
      </c>
      <c r="B237" s="34" t="n">
        <f aca="false">ROUND((AW237*'Scoring Weights'!$B$5+AX237*'Scoring Weights'!$B$6+AY237*'Scoring Weights'!$B$7+BA237*'Scoring Weights'!$B$8+AZ237*'Scoring Weights'!$B$9+BB237*'Scoring Weights'!$B$10)/MAX('Scoring Weights'!$B$11,1),1)</f>
        <v>41.3</v>
      </c>
      <c r="C237" s="35" t="str">
        <f aca="false">IF(AND(H237&lt;='Search Criteria'!$B$5,D237&gt;='Search Criteria'!$B$6,AQ237&lt;='Search Criteria'!$B$7,I237&lt;=INDEX('Search Criteria'!$B$18:$B$20,MATCH(E237,'Search Criteria'!$A$18:$A$20,0)),OR(NOT('Search Criteria'!$B$8),L237&lt;&gt;"FWD"),OR(NOT('Search Criteria'!$B$9),T237="Yes"),OR(NOT('Search Criteria'!$B$10),W237&gt;0),OR(NOT('Search Criteria'!$B$11),X237="Yes"),OR(NOT('Search Criteria'!$B$12),O237="GREAT",O237="GOOD"),OR(NOT('Search Criteria'!$B$13),K237="Yes")),"YES","no")</f>
        <v>no</v>
      </c>
      <c r="D237" s="33" t="n">
        <v>2025</v>
      </c>
      <c r="E237" s="8" t="s">
        <v>94</v>
      </c>
      <c r="F237" s="8" t="s">
        <v>233</v>
      </c>
      <c r="G237" s="8" t="s">
        <v>319</v>
      </c>
      <c r="H237" s="45" t="n">
        <v>25481</v>
      </c>
      <c r="I237" s="46" t="n">
        <v>38912</v>
      </c>
      <c r="J237" s="37" t="n">
        <f aca="false">IFERROR(ROUND(I237/MAX(2026-D237,0.5),0),"")</f>
        <v>38912</v>
      </c>
      <c r="K237" s="35" t="s">
        <v>259</v>
      </c>
      <c r="L237" s="35" t="s">
        <v>285</v>
      </c>
      <c r="M237" s="35" t="s">
        <v>257</v>
      </c>
      <c r="N237" s="33" t="n">
        <v>28</v>
      </c>
      <c r="O237" s="35" t="s">
        <v>276</v>
      </c>
      <c r="P237" s="45" t="n">
        <v>26042</v>
      </c>
      <c r="Q237" s="38" t="n">
        <v>0.022</v>
      </c>
      <c r="R237" s="35" t="s">
        <v>277</v>
      </c>
      <c r="S237" s="45"/>
      <c r="T237" s="35" t="s">
        <v>259</v>
      </c>
      <c r="U237" s="33" t="n">
        <v>1</v>
      </c>
      <c r="V237" s="35" t="s">
        <v>255</v>
      </c>
      <c r="W237" s="33" t="n">
        <v>9</v>
      </c>
      <c r="X237" s="35" t="s">
        <v>259</v>
      </c>
      <c r="Y237" s="35" t="s">
        <v>255</v>
      </c>
      <c r="Z237" s="35" t="s">
        <v>259</v>
      </c>
      <c r="AA237" s="35" t="s">
        <v>259</v>
      </c>
      <c r="AB237" s="35" t="s">
        <v>259</v>
      </c>
      <c r="AC237" s="35" t="s">
        <v>259</v>
      </c>
      <c r="AD237" s="35" t="s">
        <v>259</v>
      </c>
      <c r="AE237" s="35" t="s">
        <v>259</v>
      </c>
      <c r="AF237" s="35" t="s">
        <v>259</v>
      </c>
      <c r="AG237" s="35" t="s">
        <v>259</v>
      </c>
      <c r="AH237" s="35" t="s">
        <v>259</v>
      </c>
      <c r="AI237" s="35" t="s">
        <v>259</v>
      </c>
      <c r="AJ237" s="35" t="s">
        <v>255</v>
      </c>
      <c r="AK237" s="8" t="s">
        <v>260</v>
      </c>
      <c r="AL237" s="8" t="s">
        <v>358</v>
      </c>
      <c r="AM237" s="8" t="s">
        <v>303</v>
      </c>
      <c r="AN237" s="8" t="s">
        <v>846</v>
      </c>
      <c r="AO237" s="8" t="s">
        <v>398</v>
      </c>
      <c r="AP237" s="35" t="s">
        <v>265</v>
      </c>
      <c r="AQ237" s="39" t="n">
        <v>61.5</v>
      </c>
      <c r="AR237" s="39"/>
      <c r="AS237" s="33" t="n">
        <v>7</v>
      </c>
      <c r="AT237" s="45"/>
      <c r="AU237" s="45" t="n">
        <v>455.18</v>
      </c>
      <c r="AV237" s="45" t="n">
        <v>486</v>
      </c>
      <c r="AW237" s="39" t="n">
        <v>81</v>
      </c>
      <c r="AX237" s="39" t="n">
        <v>59.8</v>
      </c>
      <c r="AY237" s="39" t="n">
        <v>31.1</v>
      </c>
      <c r="AZ237" s="39" t="n">
        <v>4</v>
      </c>
      <c r="BA237" s="39" t="n">
        <v>0</v>
      </c>
      <c r="BB237" s="39" t="n">
        <v>18</v>
      </c>
      <c r="BC237" s="8" t="s">
        <v>847</v>
      </c>
      <c r="BD237" s="47" t="s">
        <v>390</v>
      </c>
      <c r="BE237" s="41" t="s">
        <v>848</v>
      </c>
    </row>
    <row r="238" customFormat="false" ht="15" hidden="false" customHeight="false" outlineLevel="0" collapsed="false">
      <c r="A238" s="33" t="n">
        <f aca="false">RANK(B238,$B$5:$B$266)</f>
        <v>234</v>
      </c>
      <c r="B238" s="34" t="n">
        <f aca="false">ROUND((AW238*'Scoring Weights'!$B$5+AX238*'Scoring Weights'!$B$6+AY238*'Scoring Weights'!$B$7+BA238*'Scoring Weights'!$B$8+AZ238*'Scoring Weights'!$B$9+BB238*'Scoring Weights'!$B$10)/MAX('Scoring Weights'!$B$11,1),1)</f>
        <v>41.2</v>
      </c>
      <c r="C238" s="35" t="str">
        <f aca="false">IF(AND(H238&lt;='Search Criteria'!$B$5,D238&gt;='Search Criteria'!$B$6,AQ238&lt;='Search Criteria'!$B$7,I238&lt;=INDEX('Search Criteria'!$B$18:$B$20,MATCH(E238,'Search Criteria'!$A$18:$A$20,0)),OR(NOT('Search Criteria'!$B$8),L238&lt;&gt;"FWD"),OR(NOT('Search Criteria'!$B$9),T238="Yes"),OR(NOT('Search Criteria'!$B$10),W238&gt;0),OR(NOT('Search Criteria'!$B$11),X238="Yes"),OR(NOT('Search Criteria'!$B$12),O238="GREAT",O238="GOOD"),OR(NOT('Search Criteria'!$B$13),K238="Yes")),"YES","no")</f>
        <v>no</v>
      </c>
      <c r="D238" s="33" t="n">
        <v>2023</v>
      </c>
      <c r="E238" s="8" t="s">
        <v>92</v>
      </c>
      <c r="F238" s="8" t="s">
        <v>236</v>
      </c>
      <c r="G238" s="8" t="s">
        <v>284</v>
      </c>
      <c r="H238" s="45" t="n">
        <v>34926</v>
      </c>
      <c r="I238" s="46" t="n">
        <v>65048</v>
      </c>
      <c r="J238" s="37" t="n">
        <f aca="false">IFERROR(ROUND(I238/MAX(2026-D238,0.5),0),"")</f>
        <v>21683</v>
      </c>
      <c r="K238" s="35" t="s">
        <v>259</v>
      </c>
      <c r="L238" s="35" t="s">
        <v>256</v>
      </c>
      <c r="M238" s="35" t="s">
        <v>302</v>
      </c>
      <c r="N238" s="33" t="n">
        <v>40</v>
      </c>
      <c r="O238" s="35" t="s">
        <v>297</v>
      </c>
      <c r="P238" s="45" t="n">
        <v>29590</v>
      </c>
      <c r="Q238" s="38" t="n">
        <v>-0.18</v>
      </c>
      <c r="R238" s="35" t="s">
        <v>258</v>
      </c>
      <c r="S238" s="45" t="n">
        <v>380</v>
      </c>
      <c r="T238" s="35" t="s">
        <v>259</v>
      </c>
      <c r="U238" s="33" t="n">
        <v>2</v>
      </c>
      <c r="V238" s="35" t="s">
        <v>255</v>
      </c>
      <c r="W238" s="33" t="n">
        <v>12</v>
      </c>
      <c r="X238" s="35" t="s">
        <v>255</v>
      </c>
      <c r="Y238" s="35" t="s">
        <v>255</v>
      </c>
      <c r="Z238" s="35" t="s">
        <v>255</v>
      </c>
      <c r="AA238" s="35" t="s">
        <v>255</v>
      </c>
      <c r="AB238" s="35" t="s">
        <v>255</v>
      </c>
      <c r="AC238" s="35" t="s">
        <v>255</v>
      </c>
      <c r="AD238" s="35" t="s">
        <v>255</v>
      </c>
      <c r="AE238" s="35" t="s">
        <v>259</v>
      </c>
      <c r="AF238" s="35" t="s">
        <v>259</v>
      </c>
      <c r="AG238" s="35" t="s">
        <v>259</v>
      </c>
      <c r="AH238" s="35" t="s">
        <v>259</v>
      </c>
      <c r="AI238" s="35" t="s">
        <v>255</v>
      </c>
      <c r="AJ238" s="35" t="s">
        <v>259</v>
      </c>
      <c r="AK238" s="8" t="s">
        <v>269</v>
      </c>
      <c r="AL238" s="8" t="s">
        <v>260</v>
      </c>
      <c r="AM238" s="8" t="s">
        <v>278</v>
      </c>
      <c r="AN238" s="8" t="s">
        <v>339</v>
      </c>
      <c r="AO238" s="8" t="s">
        <v>340</v>
      </c>
      <c r="AP238" s="35" t="s">
        <v>265</v>
      </c>
      <c r="AQ238" s="39" t="n">
        <v>59.9</v>
      </c>
      <c r="AR238" s="39" t="n">
        <v>4.5</v>
      </c>
      <c r="AS238" s="33" t="n">
        <v>3</v>
      </c>
      <c r="AT238" s="45"/>
      <c r="AU238" s="45" t="n">
        <v>623.9</v>
      </c>
      <c r="AV238" s="45" t="n">
        <v>262</v>
      </c>
      <c r="AW238" s="39" t="n">
        <v>77.6</v>
      </c>
      <c r="AX238" s="39" t="n">
        <v>30.3</v>
      </c>
      <c r="AY238" s="39" t="n">
        <v>24.5</v>
      </c>
      <c r="AZ238" s="39" t="n">
        <v>64</v>
      </c>
      <c r="BA238" s="39" t="n">
        <v>0</v>
      </c>
      <c r="BB238" s="39" t="n">
        <v>20.2</v>
      </c>
      <c r="BC238" s="8" t="s">
        <v>849</v>
      </c>
      <c r="BD238" s="47" t="s">
        <v>451</v>
      </c>
      <c r="BE238" s="41" t="s">
        <v>850</v>
      </c>
    </row>
    <row r="239" customFormat="false" ht="15" hidden="false" customHeight="false" outlineLevel="0" collapsed="false">
      <c r="A239" s="33" t="n">
        <f aca="false">RANK(B239,$B$5:$B$266)</f>
        <v>234</v>
      </c>
      <c r="B239" s="34" t="n">
        <f aca="false">ROUND((AW239*'Scoring Weights'!$B$5+AX239*'Scoring Weights'!$B$6+AY239*'Scoring Weights'!$B$7+BA239*'Scoring Weights'!$B$8+AZ239*'Scoring Weights'!$B$9+BB239*'Scoring Weights'!$B$10)/MAX('Scoring Weights'!$B$11,1),1)</f>
        <v>41.2</v>
      </c>
      <c r="C239" s="35" t="str">
        <f aca="false">IF(AND(H239&lt;='Search Criteria'!$B$5,D239&gt;='Search Criteria'!$B$6,AQ239&lt;='Search Criteria'!$B$7,I239&lt;=INDEX('Search Criteria'!$B$18:$B$20,MATCH(E239,'Search Criteria'!$A$18:$A$20,0)),OR(NOT('Search Criteria'!$B$8),L239&lt;&gt;"FWD"),OR(NOT('Search Criteria'!$B$9),T239="Yes"),OR(NOT('Search Criteria'!$B$10),W239&gt;0),OR(NOT('Search Criteria'!$B$11),X239="Yes"),OR(NOT('Search Criteria'!$B$12),O239="GREAT",O239="GOOD"),OR(NOT('Search Criteria'!$B$13),K239="Yes")),"YES","no")</f>
        <v>no</v>
      </c>
      <c r="D239" s="33" t="n">
        <v>2023</v>
      </c>
      <c r="E239" s="8" t="s">
        <v>95</v>
      </c>
      <c r="F239" s="8" t="s">
        <v>234</v>
      </c>
      <c r="G239" s="8" t="s">
        <v>407</v>
      </c>
      <c r="H239" s="45" t="n">
        <v>25647</v>
      </c>
      <c r="I239" s="46" t="n">
        <v>49891</v>
      </c>
      <c r="J239" s="37" t="n">
        <f aca="false">IFERROR(ROUND(I239/MAX(2026-D239,0.5),0),"")</f>
        <v>16630</v>
      </c>
      <c r="K239" s="35" t="s">
        <v>259</v>
      </c>
      <c r="L239" s="35" t="s">
        <v>256</v>
      </c>
      <c r="M239" s="35" t="s">
        <v>257</v>
      </c>
      <c r="N239" s="33" t="n">
        <v>28</v>
      </c>
      <c r="O239" s="35" t="s">
        <v>276</v>
      </c>
      <c r="P239" s="45" t="n">
        <v>25780</v>
      </c>
      <c r="Q239" s="38" t="n">
        <v>0.005</v>
      </c>
      <c r="R239" s="35" t="s">
        <v>286</v>
      </c>
      <c r="S239" s="45" t="n">
        <v>270</v>
      </c>
      <c r="T239" s="35" t="s">
        <v>255</v>
      </c>
      <c r="U239" s="33" t="n">
        <v>1</v>
      </c>
      <c r="V239" s="35" t="s">
        <v>259</v>
      </c>
      <c r="W239" s="33" t="n">
        <v>10</v>
      </c>
      <c r="X239" s="35" t="s">
        <v>255</v>
      </c>
      <c r="Y239" s="35" t="s">
        <v>255</v>
      </c>
      <c r="Z239" s="35" t="s">
        <v>259</v>
      </c>
      <c r="AA239" s="35" t="s">
        <v>259</v>
      </c>
      <c r="AB239" s="35" t="s">
        <v>255</v>
      </c>
      <c r="AC239" s="35" t="s">
        <v>255</v>
      </c>
      <c r="AD239" s="35" t="s">
        <v>255</v>
      </c>
      <c r="AE239" s="35" t="s">
        <v>259</v>
      </c>
      <c r="AF239" s="35" t="s">
        <v>259</v>
      </c>
      <c r="AG239" s="35" t="s">
        <v>259</v>
      </c>
      <c r="AH239" s="35" t="s">
        <v>259</v>
      </c>
      <c r="AI239" s="35" t="s">
        <v>255</v>
      </c>
      <c r="AJ239" s="35" t="s">
        <v>259</v>
      </c>
      <c r="AK239" s="8" t="s">
        <v>292</v>
      </c>
      <c r="AL239" s="8" t="s">
        <v>260</v>
      </c>
      <c r="AM239" s="8" t="s">
        <v>278</v>
      </c>
      <c r="AN239" s="8" t="s">
        <v>533</v>
      </c>
      <c r="AO239" s="8" t="s">
        <v>506</v>
      </c>
      <c r="AP239" s="35" t="s">
        <v>272</v>
      </c>
      <c r="AQ239" s="39" t="n">
        <v>52.6</v>
      </c>
      <c r="AR239" s="39" t="n">
        <v>4.5</v>
      </c>
      <c r="AS239" s="33" t="n">
        <v>104</v>
      </c>
      <c r="AT239" s="45"/>
      <c r="AU239" s="45" t="n">
        <v>458.15</v>
      </c>
      <c r="AV239" s="45" t="n">
        <v>314</v>
      </c>
      <c r="AW239" s="39" t="n">
        <v>80.1</v>
      </c>
      <c r="AX239" s="39" t="n">
        <v>57.4</v>
      </c>
      <c r="AY239" s="39" t="n">
        <v>3.6</v>
      </c>
      <c r="AZ239" s="39" t="n">
        <v>40</v>
      </c>
      <c r="BA239" s="39" t="n">
        <v>0</v>
      </c>
      <c r="BB239" s="39" t="n">
        <v>29.9</v>
      </c>
      <c r="BC239" s="8" t="s">
        <v>851</v>
      </c>
      <c r="BD239" s="47" t="s">
        <v>632</v>
      </c>
      <c r="BE239" s="41" t="s">
        <v>852</v>
      </c>
    </row>
    <row r="240" customFormat="false" ht="15" hidden="false" customHeight="false" outlineLevel="0" collapsed="false">
      <c r="A240" s="33" t="n">
        <f aca="false">RANK(B240,$B$5:$B$266)</f>
        <v>234</v>
      </c>
      <c r="B240" s="34" t="n">
        <f aca="false">ROUND((AW240*'Scoring Weights'!$B$5+AX240*'Scoring Weights'!$B$6+AY240*'Scoring Weights'!$B$7+BA240*'Scoring Weights'!$B$8+AZ240*'Scoring Weights'!$B$9+BB240*'Scoring Weights'!$B$10)/MAX('Scoring Weights'!$B$11,1),1)</f>
        <v>41.2</v>
      </c>
      <c r="C240" s="35" t="str">
        <f aca="false">IF(AND(H240&lt;='Search Criteria'!$B$5,D240&gt;='Search Criteria'!$B$6,AQ240&lt;='Search Criteria'!$B$7,I240&lt;=INDEX('Search Criteria'!$B$18:$B$20,MATCH(E240,'Search Criteria'!$A$18:$A$20,0)),OR(NOT('Search Criteria'!$B$8),L240&lt;&gt;"FWD"),OR(NOT('Search Criteria'!$B$9),T240="Yes"),OR(NOT('Search Criteria'!$B$10),W240&gt;0),OR(NOT('Search Criteria'!$B$11),X240="Yes"),OR(NOT('Search Criteria'!$B$12),O240="GREAT",O240="GOOD"),OR(NOT('Search Criteria'!$B$13),K240="Yes")),"YES","no")</f>
        <v>no</v>
      </c>
      <c r="D240" s="33" t="n">
        <v>2024</v>
      </c>
      <c r="E240" s="8" t="s">
        <v>95</v>
      </c>
      <c r="F240" s="8" t="s">
        <v>234</v>
      </c>
      <c r="G240" s="8" t="s">
        <v>407</v>
      </c>
      <c r="H240" s="45" t="n">
        <v>23309</v>
      </c>
      <c r="I240" s="46" t="n">
        <v>83457</v>
      </c>
      <c r="J240" s="37" t="n">
        <f aca="false">IFERROR(ROUND(I240/MAX(2026-D240,0.5),0),"")</f>
        <v>41729</v>
      </c>
      <c r="K240" s="35" t="s">
        <v>259</v>
      </c>
      <c r="L240" s="35" t="s">
        <v>256</v>
      </c>
      <c r="M240" s="35" t="s">
        <v>257</v>
      </c>
      <c r="N240" s="33" t="n">
        <v>28</v>
      </c>
      <c r="O240" s="35" t="s">
        <v>276</v>
      </c>
      <c r="P240" s="45" t="n">
        <v>23881</v>
      </c>
      <c r="Q240" s="38" t="n">
        <v>0.024</v>
      </c>
      <c r="R240" s="35" t="s">
        <v>286</v>
      </c>
      <c r="S240" s="45" t="n">
        <v>340</v>
      </c>
      <c r="T240" s="35" t="s">
        <v>255</v>
      </c>
      <c r="U240" s="33" t="n">
        <v>1</v>
      </c>
      <c r="V240" s="35" t="s">
        <v>259</v>
      </c>
      <c r="W240" s="33" t="n">
        <v>11</v>
      </c>
      <c r="X240" s="35" t="s">
        <v>255</v>
      </c>
      <c r="Y240" s="35" t="s">
        <v>255</v>
      </c>
      <c r="Z240" s="35" t="s">
        <v>259</v>
      </c>
      <c r="AA240" s="35" t="s">
        <v>259</v>
      </c>
      <c r="AB240" s="35" t="s">
        <v>255</v>
      </c>
      <c r="AC240" s="35" t="s">
        <v>255</v>
      </c>
      <c r="AD240" s="35" t="s">
        <v>255</v>
      </c>
      <c r="AE240" s="35" t="s">
        <v>259</v>
      </c>
      <c r="AF240" s="35" t="s">
        <v>259</v>
      </c>
      <c r="AG240" s="35" t="s">
        <v>259</v>
      </c>
      <c r="AH240" s="35" t="s">
        <v>259</v>
      </c>
      <c r="AI240" s="35" t="s">
        <v>255</v>
      </c>
      <c r="AJ240" s="35" t="s">
        <v>259</v>
      </c>
      <c r="AK240" s="8" t="s">
        <v>269</v>
      </c>
      <c r="AL240" s="8" t="s">
        <v>260</v>
      </c>
      <c r="AM240" s="8" t="s">
        <v>278</v>
      </c>
      <c r="AN240" s="8" t="s">
        <v>505</v>
      </c>
      <c r="AO240" s="8" t="s">
        <v>506</v>
      </c>
      <c r="AP240" s="35" t="s">
        <v>272</v>
      </c>
      <c r="AQ240" s="39" t="n">
        <v>52.7</v>
      </c>
      <c r="AR240" s="39" t="n">
        <v>4.8</v>
      </c>
      <c r="AS240" s="33" t="n">
        <v>2</v>
      </c>
      <c r="AT240" s="45"/>
      <c r="AU240" s="45" t="n">
        <v>416.38</v>
      </c>
      <c r="AV240" s="45" t="n">
        <v>314</v>
      </c>
      <c r="AW240" s="39" t="n">
        <v>80.1</v>
      </c>
      <c r="AX240" s="39" t="n">
        <v>60.2</v>
      </c>
      <c r="AY240" s="39" t="n">
        <v>0</v>
      </c>
      <c r="AZ240" s="39" t="n">
        <v>40</v>
      </c>
      <c r="BA240" s="39" t="n">
        <v>0</v>
      </c>
      <c r="BB240" s="39" t="n">
        <v>29.7</v>
      </c>
      <c r="BC240" s="8" t="s">
        <v>853</v>
      </c>
      <c r="BD240" s="47" t="s">
        <v>423</v>
      </c>
      <c r="BE240" s="41" t="s">
        <v>854</v>
      </c>
    </row>
    <row r="241" customFormat="false" ht="15" hidden="false" customHeight="false" outlineLevel="0" collapsed="false">
      <c r="A241" s="33" t="n">
        <f aca="false">RANK(B241,$B$5:$B$266)</f>
        <v>237</v>
      </c>
      <c r="B241" s="34" t="n">
        <f aca="false">ROUND((AW241*'Scoring Weights'!$B$5+AX241*'Scoring Weights'!$B$6+AY241*'Scoring Weights'!$B$7+BA241*'Scoring Weights'!$B$8+AZ241*'Scoring Weights'!$B$9+BB241*'Scoring Weights'!$B$10)/MAX('Scoring Weights'!$B$11,1),1)</f>
        <v>41</v>
      </c>
      <c r="C241" s="35" t="str">
        <f aca="false">IF(AND(H241&lt;='Search Criteria'!$B$5,D241&gt;='Search Criteria'!$B$6,AQ241&lt;='Search Criteria'!$B$7,I241&lt;=INDEX('Search Criteria'!$B$18:$B$20,MATCH(E241,'Search Criteria'!$A$18:$A$20,0)),OR(NOT('Search Criteria'!$B$8),L241&lt;&gt;"FWD"),OR(NOT('Search Criteria'!$B$9),T241="Yes"),OR(NOT('Search Criteria'!$B$10),W241&gt;0),OR(NOT('Search Criteria'!$B$11),X241="Yes"),OR(NOT('Search Criteria'!$B$12),O241="GREAT",O241="GOOD"),OR(NOT('Search Criteria'!$B$13),K241="Yes")),"YES","no")</f>
        <v>no</v>
      </c>
      <c r="D241" s="33" t="n">
        <v>2023</v>
      </c>
      <c r="E241" s="8" t="s">
        <v>92</v>
      </c>
      <c r="F241" s="8" t="s">
        <v>236</v>
      </c>
      <c r="G241" s="8" t="s">
        <v>338</v>
      </c>
      <c r="H241" s="45" t="n">
        <v>24944</v>
      </c>
      <c r="I241" s="46" t="n">
        <v>89394</v>
      </c>
      <c r="J241" s="37" t="n">
        <f aca="false">IFERROR(ROUND(I241/MAX(2026-D241,0.5),0),"")</f>
        <v>29798</v>
      </c>
      <c r="K241" s="35" t="s">
        <v>259</v>
      </c>
      <c r="L241" s="35" t="s">
        <v>256</v>
      </c>
      <c r="M241" s="35" t="s">
        <v>302</v>
      </c>
      <c r="N241" s="33" t="n">
        <v>40</v>
      </c>
      <c r="O241" s="35" t="s">
        <v>258</v>
      </c>
      <c r="P241" s="45" t="n">
        <v>27646</v>
      </c>
      <c r="Q241" s="38" t="n">
        <v>0.098</v>
      </c>
      <c r="R241" s="35" t="s">
        <v>258</v>
      </c>
      <c r="S241" s="45" t="n">
        <v>440</v>
      </c>
      <c r="T241" s="35" t="s">
        <v>259</v>
      </c>
      <c r="U241" s="33" t="n">
        <v>2</v>
      </c>
      <c r="V241" s="35" t="s">
        <v>259</v>
      </c>
      <c r="W241" s="33" t="n">
        <v>11</v>
      </c>
      <c r="X241" s="35" t="s">
        <v>259</v>
      </c>
      <c r="Y241" s="35" t="s">
        <v>255</v>
      </c>
      <c r="Z241" s="35" t="s">
        <v>259</v>
      </c>
      <c r="AA241" s="35" t="s">
        <v>259</v>
      </c>
      <c r="AB241" s="35" t="s">
        <v>255</v>
      </c>
      <c r="AC241" s="35" t="s">
        <v>259</v>
      </c>
      <c r="AD241" s="35" t="s">
        <v>259</v>
      </c>
      <c r="AE241" s="35" t="s">
        <v>259</v>
      </c>
      <c r="AF241" s="35" t="s">
        <v>259</v>
      </c>
      <c r="AG241" s="35" t="s">
        <v>259</v>
      </c>
      <c r="AH241" s="35" t="s">
        <v>259</v>
      </c>
      <c r="AI241" s="35" t="s">
        <v>259</v>
      </c>
      <c r="AJ241" s="35" t="s">
        <v>259</v>
      </c>
      <c r="AK241" s="8" t="s">
        <v>292</v>
      </c>
      <c r="AL241" s="8" t="s">
        <v>261</v>
      </c>
      <c r="AM241" s="8" t="s">
        <v>278</v>
      </c>
      <c r="AN241" s="8" t="s">
        <v>800</v>
      </c>
      <c r="AO241" s="8" t="s">
        <v>801</v>
      </c>
      <c r="AP241" s="35" t="s">
        <v>265</v>
      </c>
      <c r="AQ241" s="39" t="n">
        <v>74.4</v>
      </c>
      <c r="AR241" s="39"/>
      <c r="AS241" s="33" t="n">
        <v>54</v>
      </c>
      <c r="AT241" s="45" t="n">
        <v>51</v>
      </c>
      <c r="AU241" s="45" t="n">
        <v>445.59</v>
      </c>
      <c r="AV241" s="45" t="n">
        <v>149</v>
      </c>
      <c r="AW241" s="39" t="n">
        <v>67.8</v>
      </c>
      <c r="AX241" s="39" t="n">
        <v>92.2</v>
      </c>
      <c r="AY241" s="39" t="n">
        <v>7.4</v>
      </c>
      <c r="AZ241" s="39" t="n">
        <v>12</v>
      </c>
      <c r="BA241" s="39" t="n">
        <v>0</v>
      </c>
      <c r="BB241" s="39" t="n">
        <v>0.7</v>
      </c>
      <c r="BC241" s="8" t="s">
        <v>855</v>
      </c>
      <c r="BD241" s="47" t="s">
        <v>451</v>
      </c>
      <c r="BE241" s="41" t="s">
        <v>856</v>
      </c>
    </row>
    <row r="242" customFormat="false" ht="15" hidden="false" customHeight="false" outlineLevel="0" collapsed="false">
      <c r="A242" s="33" t="n">
        <f aca="false">RANK(B242,$B$5:$B$266)</f>
        <v>238</v>
      </c>
      <c r="B242" s="34" t="n">
        <f aca="false">ROUND((AW242*'Scoring Weights'!$B$5+AX242*'Scoring Weights'!$B$6+AY242*'Scoring Weights'!$B$7+BA242*'Scoring Weights'!$B$8+AZ242*'Scoring Weights'!$B$9+BB242*'Scoring Weights'!$B$10)/MAX('Scoring Weights'!$B$11,1),1)</f>
        <v>40.9</v>
      </c>
      <c r="C242" s="35" t="str">
        <f aca="false">IF(AND(H242&lt;='Search Criteria'!$B$5,D242&gt;='Search Criteria'!$B$6,AQ242&lt;='Search Criteria'!$B$7,I242&lt;=INDEX('Search Criteria'!$B$18:$B$20,MATCH(E242,'Search Criteria'!$A$18:$A$20,0)),OR(NOT('Search Criteria'!$B$8),L242&lt;&gt;"FWD"),OR(NOT('Search Criteria'!$B$9),T242="Yes"),OR(NOT('Search Criteria'!$B$10),W242&gt;0),OR(NOT('Search Criteria'!$B$11),X242="Yes"),OR(NOT('Search Criteria'!$B$12),O242="GREAT",O242="GOOD"),OR(NOT('Search Criteria'!$B$13),K242="Yes")),"YES","no")</f>
        <v>no</v>
      </c>
      <c r="D242" s="33" t="n">
        <v>2025</v>
      </c>
      <c r="E242" s="8" t="s">
        <v>92</v>
      </c>
      <c r="F242" s="8" t="s">
        <v>236</v>
      </c>
      <c r="G242" s="8" t="s">
        <v>296</v>
      </c>
      <c r="H242" s="45" t="n">
        <v>34989</v>
      </c>
      <c r="I242" s="46" t="n">
        <v>47972</v>
      </c>
      <c r="J242" s="37" t="n">
        <f aca="false">IFERROR(ROUND(I242/MAX(2026-D242,0.5),0),"")</f>
        <v>47972</v>
      </c>
      <c r="K242" s="35" t="s">
        <v>259</v>
      </c>
      <c r="L242" s="35" t="s">
        <v>256</v>
      </c>
      <c r="M242" s="35" t="s">
        <v>302</v>
      </c>
      <c r="N242" s="33" t="n">
        <v>39</v>
      </c>
      <c r="O242" s="35" t="s">
        <v>276</v>
      </c>
      <c r="P242" s="45" t="n">
        <v>33342</v>
      </c>
      <c r="Q242" s="38" t="n">
        <v>-0.049</v>
      </c>
      <c r="R242" s="35" t="s">
        <v>286</v>
      </c>
      <c r="S242" s="45" t="n">
        <v>490</v>
      </c>
      <c r="T242" s="35" t="s">
        <v>255</v>
      </c>
      <c r="U242" s="33" t="n">
        <v>1</v>
      </c>
      <c r="V242" s="35" t="s">
        <v>259</v>
      </c>
      <c r="W242" s="33" t="n">
        <v>3</v>
      </c>
      <c r="X242" s="35" t="s">
        <v>259</v>
      </c>
      <c r="Y242" s="35" t="s">
        <v>255</v>
      </c>
      <c r="Z242" s="35" t="s">
        <v>259</v>
      </c>
      <c r="AA242" s="35" t="s">
        <v>259</v>
      </c>
      <c r="AB242" s="35" t="s">
        <v>255</v>
      </c>
      <c r="AC242" s="35" t="s">
        <v>259</v>
      </c>
      <c r="AD242" s="35" t="s">
        <v>259</v>
      </c>
      <c r="AE242" s="35" t="s">
        <v>259</v>
      </c>
      <c r="AF242" s="35" t="s">
        <v>259</v>
      </c>
      <c r="AG242" s="35" t="s">
        <v>259</v>
      </c>
      <c r="AH242" s="35" t="s">
        <v>259</v>
      </c>
      <c r="AI242" s="35" t="s">
        <v>255</v>
      </c>
      <c r="AJ242" s="35" t="s">
        <v>259</v>
      </c>
      <c r="AK242" s="8" t="s">
        <v>269</v>
      </c>
      <c r="AL242" s="8" t="s">
        <v>261</v>
      </c>
      <c r="AM242" s="8" t="s">
        <v>278</v>
      </c>
      <c r="AN242" s="8" t="s">
        <v>594</v>
      </c>
      <c r="AO242" s="8" t="s">
        <v>448</v>
      </c>
      <c r="AP242" s="35" t="s">
        <v>265</v>
      </c>
      <c r="AQ242" s="39" t="n">
        <v>16</v>
      </c>
      <c r="AR242" s="39" t="n">
        <v>4.5</v>
      </c>
      <c r="AS242" s="33" t="n">
        <v>27</v>
      </c>
      <c r="AT242" s="45"/>
      <c r="AU242" s="45" t="n">
        <v>625.03</v>
      </c>
      <c r="AV242" s="45"/>
      <c r="AW242" s="39" t="n">
        <v>66.9</v>
      </c>
      <c r="AX242" s="39" t="n">
        <v>49.2</v>
      </c>
      <c r="AY242" s="39" t="n">
        <v>36.4</v>
      </c>
      <c r="AZ242" s="39" t="n">
        <v>16</v>
      </c>
      <c r="BA242" s="39" t="n">
        <v>0</v>
      </c>
      <c r="BB242" s="39" t="n">
        <v>78.7</v>
      </c>
      <c r="BC242" s="8" t="s">
        <v>857</v>
      </c>
      <c r="BD242" s="47" t="s">
        <v>290</v>
      </c>
      <c r="BE242" s="41" t="s">
        <v>858</v>
      </c>
    </row>
    <row r="243" customFormat="false" ht="15" hidden="false" customHeight="false" outlineLevel="0" collapsed="false">
      <c r="A243" s="33" t="n">
        <f aca="false">RANK(B243,$B$5:$B$266)</f>
        <v>238</v>
      </c>
      <c r="B243" s="34" t="n">
        <f aca="false">ROUND((AW243*'Scoring Weights'!$B$5+AX243*'Scoring Weights'!$B$6+AY243*'Scoring Weights'!$B$7+BA243*'Scoring Weights'!$B$8+AZ243*'Scoring Weights'!$B$9+BB243*'Scoring Weights'!$B$10)/MAX('Scoring Weights'!$B$11,1),1)</f>
        <v>40.9</v>
      </c>
      <c r="C243" s="35" t="str">
        <f aca="false">IF(AND(H243&lt;='Search Criteria'!$B$5,D243&gt;='Search Criteria'!$B$6,AQ243&lt;='Search Criteria'!$B$7,I243&lt;=INDEX('Search Criteria'!$B$18:$B$20,MATCH(E243,'Search Criteria'!$A$18:$A$20,0)),OR(NOT('Search Criteria'!$B$8),L243&lt;&gt;"FWD"),OR(NOT('Search Criteria'!$B$9),T243="Yes"),OR(NOT('Search Criteria'!$B$10),W243&gt;0),OR(NOT('Search Criteria'!$B$11),X243="Yes"),OR(NOT('Search Criteria'!$B$12),O243="GREAT",O243="GOOD"),OR(NOT('Search Criteria'!$B$13),K243="Yes")),"YES","no")</f>
        <v>no</v>
      </c>
      <c r="D243" s="33" t="n">
        <v>2024</v>
      </c>
      <c r="E243" s="8" t="s">
        <v>95</v>
      </c>
      <c r="F243" s="8" t="s">
        <v>234</v>
      </c>
      <c r="G243" s="8" t="s">
        <v>859</v>
      </c>
      <c r="H243" s="45" t="n">
        <v>31831</v>
      </c>
      <c r="I243" s="46" t="n">
        <v>43011</v>
      </c>
      <c r="J243" s="37" t="n">
        <f aca="false">IFERROR(ROUND(I243/MAX(2026-D243,0.5),0),"")</f>
        <v>21506</v>
      </c>
      <c r="K243" s="35" t="s">
        <v>259</v>
      </c>
      <c r="L243" s="35" t="s">
        <v>256</v>
      </c>
      <c r="M243" s="35" t="s">
        <v>257</v>
      </c>
      <c r="N243" s="33" t="n">
        <v>25</v>
      </c>
      <c r="O243" s="35" t="s">
        <v>297</v>
      </c>
      <c r="P243" s="45" t="n">
        <v>28176</v>
      </c>
      <c r="Q243" s="38" t="n">
        <v>-0.13</v>
      </c>
      <c r="R243" s="35" t="s">
        <v>286</v>
      </c>
      <c r="S243" s="45" t="n">
        <v>370</v>
      </c>
      <c r="T243" s="35" t="s">
        <v>259</v>
      </c>
      <c r="U243" s="33" t="n">
        <v>1</v>
      </c>
      <c r="V243" s="35" t="s">
        <v>255</v>
      </c>
      <c r="W243" s="33" t="n">
        <v>8</v>
      </c>
      <c r="X243" s="35" t="s">
        <v>255</v>
      </c>
      <c r="Y243" s="35" t="s">
        <v>255</v>
      </c>
      <c r="Z243" s="35" t="s">
        <v>255</v>
      </c>
      <c r="AA243" s="35" t="s">
        <v>255</v>
      </c>
      <c r="AB243" s="35" t="s">
        <v>255</v>
      </c>
      <c r="AC243" s="35" t="s">
        <v>255</v>
      </c>
      <c r="AD243" s="35" t="s">
        <v>255</v>
      </c>
      <c r="AE243" s="35" t="s">
        <v>259</v>
      </c>
      <c r="AF243" s="35" t="s">
        <v>255</v>
      </c>
      <c r="AG243" s="35" t="s">
        <v>259</v>
      </c>
      <c r="AH243" s="35" t="s">
        <v>255</v>
      </c>
      <c r="AI243" s="35" t="s">
        <v>255</v>
      </c>
      <c r="AJ243" s="35" t="s">
        <v>255</v>
      </c>
      <c r="AK243" s="8" t="s">
        <v>309</v>
      </c>
      <c r="AL243" s="8" t="s">
        <v>261</v>
      </c>
      <c r="AM243" s="8" t="s">
        <v>383</v>
      </c>
      <c r="AN243" s="8" t="s">
        <v>315</v>
      </c>
      <c r="AO243" s="8" t="s">
        <v>294</v>
      </c>
      <c r="AP243" s="35" t="s">
        <v>272</v>
      </c>
      <c r="AQ243" s="39" t="n">
        <v>41.6</v>
      </c>
      <c r="AR243" s="39" t="n">
        <v>4.6</v>
      </c>
      <c r="AS243" s="33" t="n">
        <v>4</v>
      </c>
      <c r="AT243" s="45"/>
      <c r="AU243" s="45" t="n">
        <v>568.62</v>
      </c>
      <c r="AV243" s="45" t="n">
        <v>314</v>
      </c>
      <c r="AW243" s="39" t="n">
        <v>69.7</v>
      </c>
      <c r="AX243" s="39" t="n">
        <v>33.3</v>
      </c>
      <c r="AY243" s="39" t="n">
        <v>9.8</v>
      </c>
      <c r="AZ243" s="39" t="n">
        <v>82</v>
      </c>
      <c r="BA243" s="39" t="n">
        <v>0</v>
      </c>
      <c r="BB243" s="39" t="n">
        <v>44.5</v>
      </c>
      <c r="BC243" s="8" t="s">
        <v>860</v>
      </c>
      <c r="BD243" s="47" t="s">
        <v>423</v>
      </c>
      <c r="BE243" s="41" t="s">
        <v>861</v>
      </c>
    </row>
    <row r="244" customFormat="false" ht="15" hidden="false" customHeight="false" outlineLevel="0" collapsed="false">
      <c r="A244" s="33" t="n">
        <f aca="false">RANK(B244,$B$5:$B$266)</f>
        <v>240</v>
      </c>
      <c r="B244" s="34" t="n">
        <f aca="false">ROUND((AW244*'Scoring Weights'!$B$5+AX244*'Scoring Weights'!$B$6+AY244*'Scoring Weights'!$B$7+BA244*'Scoring Weights'!$B$8+AZ244*'Scoring Weights'!$B$9+BB244*'Scoring Weights'!$B$10)/MAX('Scoring Weights'!$B$11,1),1)</f>
        <v>40.4</v>
      </c>
      <c r="C244" s="35" t="str">
        <f aca="false">IF(AND(H244&lt;='Search Criteria'!$B$5,D244&gt;='Search Criteria'!$B$6,AQ244&lt;='Search Criteria'!$B$7,I244&lt;=INDEX('Search Criteria'!$B$18:$B$20,MATCH(E244,'Search Criteria'!$A$18:$A$20,0)),OR(NOT('Search Criteria'!$B$8),L244&lt;&gt;"FWD"),OR(NOT('Search Criteria'!$B$9),T244="Yes"),OR(NOT('Search Criteria'!$B$10),W244&gt;0),OR(NOT('Search Criteria'!$B$11),X244="Yes"),OR(NOT('Search Criteria'!$B$12),O244="GREAT",O244="GOOD"),OR(NOT('Search Criteria'!$B$13),K244="Yes")),"YES","no")</f>
        <v>no</v>
      </c>
      <c r="D244" s="33" t="n">
        <v>2025</v>
      </c>
      <c r="E244" s="8" t="s">
        <v>92</v>
      </c>
      <c r="F244" s="8" t="s">
        <v>236</v>
      </c>
      <c r="G244" s="8" t="s">
        <v>296</v>
      </c>
      <c r="H244" s="45" t="n">
        <v>35703</v>
      </c>
      <c r="I244" s="46" t="n">
        <v>45721</v>
      </c>
      <c r="J244" s="37" t="n">
        <f aca="false">IFERROR(ROUND(I244/MAX(2026-D244,0.5),0),"")</f>
        <v>45721</v>
      </c>
      <c r="K244" s="35" t="s">
        <v>259</v>
      </c>
      <c r="L244" s="35" t="s">
        <v>256</v>
      </c>
      <c r="M244" s="35" t="s">
        <v>302</v>
      </c>
      <c r="N244" s="33" t="n">
        <v>39</v>
      </c>
      <c r="O244" s="35" t="s">
        <v>276</v>
      </c>
      <c r="P244" s="45" t="n">
        <v>33522</v>
      </c>
      <c r="Q244" s="38" t="n">
        <v>-0.065</v>
      </c>
      <c r="R244" s="35" t="s">
        <v>286</v>
      </c>
      <c r="S244" s="45" t="n">
        <v>490</v>
      </c>
      <c r="T244" s="35" t="s">
        <v>255</v>
      </c>
      <c r="U244" s="33" t="n">
        <v>1</v>
      </c>
      <c r="V244" s="35" t="s">
        <v>259</v>
      </c>
      <c r="W244" s="33" t="n">
        <v>2</v>
      </c>
      <c r="X244" s="35" t="s">
        <v>259</v>
      </c>
      <c r="Y244" s="35" t="s">
        <v>255</v>
      </c>
      <c r="Z244" s="35" t="s">
        <v>259</v>
      </c>
      <c r="AA244" s="35" t="s">
        <v>259</v>
      </c>
      <c r="AB244" s="35" t="s">
        <v>255</v>
      </c>
      <c r="AC244" s="35" t="s">
        <v>259</v>
      </c>
      <c r="AD244" s="35" t="s">
        <v>259</v>
      </c>
      <c r="AE244" s="35" t="s">
        <v>259</v>
      </c>
      <c r="AF244" s="35" t="s">
        <v>259</v>
      </c>
      <c r="AG244" s="35" t="s">
        <v>259</v>
      </c>
      <c r="AH244" s="35" t="s">
        <v>259</v>
      </c>
      <c r="AI244" s="35" t="s">
        <v>255</v>
      </c>
      <c r="AJ244" s="35" t="s">
        <v>259</v>
      </c>
      <c r="AK244" s="8" t="s">
        <v>269</v>
      </c>
      <c r="AL244" s="8" t="s">
        <v>261</v>
      </c>
      <c r="AM244" s="8" t="s">
        <v>278</v>
      </c>
      <c r="AN244" s="8" t="s">
        <v>594</v>
      </c>
      <c r="AO244" s="8" t="s">
        <v>448</v>
      </c>
      <c r="AP244" s="35" t="s">
        <v>265</v>
      </c>
      <c r="AQ244" s="39" t="n">
        <v>16</v>
      </c>
      <c r="AR244" s="39" t="n">
        <v>4.5</v>
      </c>
      <c r="AS244" s="33" t="n">
        <v>9</v>
      </c>
      <c r="AT244" s="45"/>
      <c r="AU244" s="45" t="n">
        <v>637.78</v>
      </c>
      <c r="AV244" s="45"/>
      <c r="AW244" s="39" t="n">
        <v>65.7</v>
      </c>
      <c r="AX244" s="39" t="n">
        <v>46.8</v>
      </c>
      <c r="AY244" s="39" t="n">
        <v>38</v>
      </c>
      <c r="AZ244" s="39" t="n">
        <v>16</v>
      </c>
      <c r="BA244" s="39" t="n">
        <v>0</v>
      </c>
      <c r="BB244" s="39" t="n">
        <v>78.7</v>
      </c>
      <c r="BC244" s="8" t="s">
        <v>862</v>
      </c>
      <c r="BD244" s="47" t="s">
        <v>290</v>
      </c>
      <c r="BE244" s="41" t="s">
        <v>863</v>
      </c>
    </row>
    <row r="245" customFormat="false" ht="15" hidden="false" customHeight="false" outlineLevel="0" collapsed="false">
      <c r="A245" s="33" t="n">
        <f aca="false">RANK(B245,$B$5:$B$266)</f>
        <v>241</v>
      </c>
      <c r="B245" s="34" t="n">
        <f aca="false">ROUND((AW245*'Scoring Weights'!$B$5+AX245*'Scoring Weights'!$B$6+AY245*'Scoring Weights'!$B$7+BA245*'Scoring Weights'!$B$8+AZ245*'Scoring Weights'!$B$9+BB245*'Scoring Weights'!$B$10)/MAX('Scoring Weights'!$B$11,1),1)</f>
        <v>40.3</v>
      </c>
      <c r="C245" s="35" t="str">
        <f aca="false">IF(AND(H245&lt;='Search Criteria'!$B$5,D245&gt;='Search Criteria'!$B$6,AQ245&lt;='Search Criteria'!$B$7,I245&lt;=INDEX('Search Criteria'!$B$18:$B$20,MATCH(E245,'Search Criteria'!$A$18:$A$20,0)),OR(NOT('Search Criteria'!$B$8),L245&lt;&gt;"FWD"),OR(NOT('Search Criteria'!$B$9),T245="Yes"),OR(NOT('Search Criteria'!$B$10),W245&gt;0),OR(NOT('Search Criteria'!$B$11),X245="Yes"),OR(NOT('Search Criteria'!$B$12),O245="GREAT",O245="GOOD"),OR(NOT('Search Criteria'!$B$13),K245="Yes")),"YES","no")</f>
        <v>no</v>
      </c>
      <c r="D245" s="33" t="n">
        <v>2023</v>
      </c>
      <c r="E245" s="8" t="s">
        <v>95</v>
      </c>
      <c r="F245" s="8" t="s">
        <v>234</v>
      </c>
      <c r="G245" s="8" t="s">
        <v>407</v>
      </c>
      <c r="H245" s="45" t="n">
        <v>21614</v>
      </c>
      <c r="I245" s="46" t="n">
        <v>89653</v>
      </c>
      <c r="J245" s="37" t="n">
        <f aca="false">IFERROR(ROUND(I245/MAX(2026-D245,0.5),0),"")</f>
        <v>29884</v>
      </c>
      <c r="K245" s="35" t="s">
        <v>259</v>
      </c>
      <c r="L245" s="35" t="s">
        <v>256</v>
      </c>
      <c r="M245" s="35" t="s">
        <v>257</v>
      </c>
      <c r="N245" s="33" t="n">
        <v>28</v>
      </c>
      <c r="O245" s="35" t="s">
        <v>276</v>
      </c>
      <c r="P245" s="45" t="n">
        <v>21558</v>
      </c>
      <c r="Q245" s="38" t="n">
        <v>-0.003</v>
      </c>
      <c r="R245" s="35" t="s">
        <v>277</v>
      </c>
      <c r="S245" s="45"/>
      <c r="T245" s="35" t="s">
        <v>255</v>
      </c>
      <c r="U245" s="33" t="n">
        <v>1</v>
      </c>
      <c r="V245" s="35" t="s">
        <v>259</v>
      </c>
      <c r="W245" s="33" t="n">
        <v>12</v>
      </c>
      <c r="X245" s="35" t="s">
        <v>255</v>
      </c>
      <c r="Y245" s="35" t="s">
        <v>255</v>
      </c>
      <c r="Z245" s="35" t="s">
        <v>259</v>
      </c>
      <c r="AA245" s="35" t="s">
        <v>259</v>
      </c>
      <c r="AB245" s="35" t="s">
        <v>255</v>
      </c>
      <c r="AC245" s="35" t="s">
        <v>255</v>
      </c>
      <c r="AD245" s="35" t="s">
        <v>255</v>
      </c>
      <c r="AE245" s="35" t="s">
        <v>259</v>
      </c>
      <c r="AF245" s="35" t="s">
        <v>259</v>
      </c>
      <c r="AG245" s="35" t="s">
        <v>259</v>
      </c>
      <c r="AH245" s="35" t="s">
        <v>259</v>
      </c>
      <c r="AI245" s="35" t="s">
        <v>255</v>
      </c>
      <c r="AJ245" s="35" t="s">
        <v>259</v>
      </c>
      <c r="AK245" s="8" t="s">
        <v>269</v>
      </c>
      <c r="AL245" s="8" t="s">
        <v>260</v>
      </c>
      <c r="AM245" s="8" t="s">
        <v>278</v>
      </c>
      <c r="AN245" s="8" t="s">
        <v>505</v>
      </c>
      <c r="AO245" s="8" t="s">
        <v>506</v>
      </c>
      <c r="AP245" s="35" t="s">
        <v>272</v>
      </c>
      <c r="AQ245" s="39" t="n">
        <v>52.7</v>
      </c>
      <c r="AR245" s="39" t="n">
        <v>4.8</v>
      </c>
      <c r="AS245" s="33" t="n">
        <v>93</v>
      </c>
      <c r="AT245" s="45"/>
      <c r="AU245" s="45" t="n">
        <v>386.1</v>
      </c>
      <c r="AV245" s="45" t="n">
        <v>314</v>
      </c>
      <c r="AW245" s="39" t="n">
        <v>80.1</v>
      </c>
      <c r="AX245" s="39" t="n">
        <v>56.2</v>
      </c>
      <c r="AY245" s="39" t="n">
        <v>0</v>
      </c>
      <c r="AZ245" s="39" t="n">
        <v>40</v>
      </c>
      <c r="BA245" s="39" t="n">
        <v>0</v>
      </c>
      <c r="BB245" s="39" t="n">
        <v>29.7</v>
      </c>
      <c r="BC245" s="8" t="s">
        <v>864</v>
      </c>
      <c r="BD245" s="47" t="s">
        <v>632</v>
      </c>
      <c r="BE245" s="41" t="s">
        <v>865</v>
      </c>
    </row>
    <row r="246" customFormat="false" ht="15" hidden="false" customHeight="false" outlineLevel="0" collapsed="false">
      <c r="A246" s="33" t="n">
        <f aca="false">RANK(B246,$B$5:$B$266)</f>
        <v>241</v>
      </c>
      <c r="B246" s="34" t="n">
        <f aca="false">ROUND((AW246*'Scoring Weights'!$B$5+AX246*'Scoring Weights'!$B$6+AY246*'Scoring Weights'!$B$7+BA246*'Scoring Weights'!$B$8+AZ246*'Scoring Weights'!$B$9+BB246*'Scoring Weights'!$B$10)/MAX('Scoring Weights'!$B$11,1),1)</f>
        <v>40.3</v>
      </c>
      <c r="C246" s="35" t="str">
        <f aca="false">IF(AND(H246&lt;='Search Criteria'!$B$5,D246&gt;='Search Criteria'!$B$6,AQ246&lt;='Search Criteria'!$B$7,I246&lt;=INDEX('Search Criteria'!$B$18:$B$20,MATCH(E246,'Search Criteria'!$A$18:$A$20,0)),OR(NOT('Search Criteria'!$B$8),L246&lt;&gt;"FWD"),OR(NOT('Search Criteria'!$B$9),T246="Yes"),OR(NOT('Search Criteria'!$B$10),W246&gt;0),OR(NOT('Search Criteria'!$B$11),X246="Yes"),OR(NOT('Search Criteria'!$B$12),O246="GREAT",O246="GOOD"),OR(NOT('Search Criteria'!$B$13),K246="Yes")),"YES","no")</f>
        <v>no</v>
      </c>
      <c r="D246" s="33" t="n">
        <v>2024</v>
      </c>
      <c r="E246" s="8" t="s">
        <v>95</v>
      </c>
      <c r="F246" s="8" t="s">
        <v>234</v>
      </c>
      <c r="G246" s="8" t="s">
        <v>407</v>
      </c>
      <c r="H246" s="45" t="n">
        <v>23309</v>
      </c>
      <c r="I246" s="46" t="n">
        <v>89620</v>
      </c>
      <c r="J246" s="37" t="n">
        <f aca="false">IFERROR(ROUND(I246/MAX(2026-D246,0.5),0),"")</f>
        <v>44810</v>
      </c>
      <c r="K246" s="35" t="s">
        <v>259</v>
      </c>
      <c r="L246" s="35" t="s">
        <v>256</v>
      </c>
      <c r="M246" s="35" t="s">
        <v>257</v>
      </c>
      <c r="N246" s="33" t="n">
        <v>28</v>
      </c>
      <c r="O246" s="35" t="s">
        <v>276</v>
      </c>
      <c r="P246" s="45" t="n">
        <v>23227</v>
      </c>
      <c r="Q246" s="38" t="n">
        <v>-0.004</v>
      </c>
      <c r="R246" s="35" t="s">
        <v>286</v>
      </c>
      <c r="S246" s="45" t="n">
        <v>340</v>
      </c>
      <c r="T246" s="35" t="s">
        <v>255</v>
      </c>
      <c r="U246" s="33" t="n">
        <v>1</v>
      </c>
      <c r="V246" s="35" t="s">
        <v>259</v>
      </c>
      <c r="W246" s="33" t="n">
        <v>20</v>
      </c>
      <c r="X246" s="35" t="s">
        <v>255</v>
      </c>
      <c r="Y246" s="35" t="s">
        <v>255</v>
      </c>
      <c r="Z246" s="35" t="s">
        <v>259</v>
      </c>
      <c r="AA246" s="35" t="s">
        <v>259</v>
      </c>
      <c r="AB246" s="35" t="s">
        <v>255</v>
      </c>
      <c r="AC246" s="35" t="s">
        <v>255</v>
      </c>
      <c r="AD246" s="35" t="s">
        <v>255</v>
      </c>
      <c r="AE246" s="35" t="s">
        <v>259</v>
      </c>
      <c r="AF246" s="35" t="s">
        <v>259</v>
      </c>
      <c r="AG246" s="35" t="s">
        <v>259</v>
      </c>
      <c r="AH246" s="35" t="s">
        <v>259</v>
      </c>
      <c r="AI246" s="35" t="s">
        <v>255</v>
      </c>
      <c r="AJ246" s="35" t="s">
        <v>259</v>
      </c>
      <c r="AK246" s="8" t="s">
        <v>260</v>
      </c>
      <c r="AL246" s="8" t="s">
        <v>260</v>
      </c>
      <c r="AM246" s="8" t="s">
        <v>278</v>
      </c>
      <c r="AN246" s="8" t="s">
        <v>505</v>
      </c>
      <c r="AO246" s="8" t="s">
        <v>506</v>
      </c>
      <c r="AP246" s="35" t="s">
        <v>272</v>
      </c>
      <c r="AQ246" s="39" t="n">
        <v>52.7</v>
      </c>
      <c r="AR246" s="39" t="n">
        <v>4.8</v>
      </c>
      <c r="AS246" s="33" t="n">
        <v>93</v>
      </c>
      <c r="AT246" s="45"/>
      <c r="AU246" s="45" t="n">
        <v>416.38</v>
      </c>
      <c r="AV246" s="45" t="n">
        <v>314</v>
      </c>
      <c r="AW246" s="39" t="n">
        <v>80.1</v>
      </c>
      <c r="AX246" s="39" t="n">
        <v>56.1</v>
      </c>
      <c r="AY246" s="39" t="n">
        <v>0</v>
      </c>
      <c r="AZ246" s="39" t="n">
        <v>40</v>
      </c>
      <c r="BA246" s="39" t="n">
        <v>0</v>
      </c>
      <c r="BB246" s="39" t="n">
        <v>29.7</v>
      </c>
      <c r="BC246" s="8" t="s">
        <v>866</v>
      </c>
      <c r="BD246" s="47" t="s">
        <v>423</v>
      </c>
      <c r="BE246" s="41" t="s">
        <v>867</v>
      </c>
    </row>
    <row r="247" customFormat="false" ht="15" hidden="false" customHeight="false" outlineLevel="0" collapsed="false">
      <c r="A247" s="33" t="n">
        <f aca="false">RANK(B247,$B$5:$B$266)</f>
        <v>243</v>
      </c>
      <c r="B247" s="34" t="n">
        <f aca="false">ROUND((AW247*'Scoring Weights'!$B$5+AX247*'Scoring Weights'!$B$6+AY247*'Scoring Weights'!$B$7+BA247*'Scoring Weights'!$B$8+AZ247*'Scoring Weights'!$B$9+BB247*'Scoring Weights'!$B$10)/MAX('Scoring Weights'!$B$11,1),1)</f>
        <v>40.2</v>
      </c>
      <c r="C247" s="35" t="str">
        <f aca="false">IF(AND(H247&lt;='Search Criteria'!$B$5,D247&gt;='Search Criteria'!$B$6,AQ247&lt;='Search Criteria'!$B$7,I247&lt;=INDEX('Search Criteria'!$B$18:$B$20,MATCH(E247,'Search Criteria'!$A$18:$A$20,0)),OR(NOT('Search Criteria'!$B$8),L247&lt;&gt;"FWD"),OR(NOT('Search Criteria'!$B$9),T247="Yes"),OR(NOT('Search Criteria'!$B$10),W247&gt;0),OR(NOT('Search Criteria'!$B$11),X247="Yes"),OR(NOT('Search Criteria'!$B$12),O247="GREAT",O247="GOOD"),OR(NOT('Search Criteria'!$B$13),K247="Yes")),"YES","no")</f>
        <v>no</v>
      </c>
      <c r="D247" s="33" t="n">
        <v>2024</v>
      </c>
      <c r="E247" s="8" t="s">
        <v>95</v>
      </c>
      <c r="F247" s="8" t="s">
        <v>234</v>
      </c>
      <c r="G247" s="8" t="s">
        <v>407</v>
      </c>
      <c r="H247" s="45" t="n">
        <v>27314</v>
      </c>
      <c r="I247" s="46" t="n">
        <v>46020</v>
      </c>
      <c r="J247" s="37" t="n">
        <f aca="false">IFERROR(ROUND(I247/MAX(2026-D247,0.5),0),"")</f>
        <v>23010</v>
      </c>
      <c r="K247" s="35" t="s">
        <v>259</v>
      </c>
      <c r="L247" s="35" t="s">
        <v>256</v>
      </c>
      <c r="M247" s="35" t="s">
        <v>257</v>
      </c>
      <c r="N247" s="33" t="n">
        <v>28</v>
      </c>
      <c r="O247" s="35" t="s">
        <v>276</v>
      </c>
      <c r="P247" s="45" t="n">
        <v>27856</v>
      </c>
      <c r="Q247" s="38" t="n">
        <v>0.019</v>
      </c>
      <c r="R247" s="35" t="s">
        <v>258</v>
      </c>
      <c r="S247" s="45" t="n">
        <v>300</v>
      </c>
      <c r="T247" s="35" t="s">
        <v>255</v>
      </c>
      <c r="U247" s="33" t="n">
        <v>2</v>
      </c>
      <c r="V247" s="35" t="s">
        <v>259</v>
      </c>
      <c r="W247" s="33" t="n">
        <v>8</v>
      </c>
      <c r="X247" s="35" t="s">
        <v>255</v>
      </c>
      <c r="Y247" s="35" t="s">
        <v>255</v>
      </c>
      <c r="Z247" s="35" t="s">
        <v>259</v>
      </c>
      <c r="AA247" s="35" t="s">
        <v>259</v>
      </c>
      <c r="AB247" s="35" t="s">
        <v>259</v>
      </c>
      <c r="AC247" s="35" t="s">
        <v>259</v>
      </c>
      <c r="AD247" s="35" t="s">
        <v>255</v>
      </c>
      <c r="AE247" s="35" t="s">
        <v>259</v>
      </c>
      <c r="AF247" s="35" t="s">
        <v>259</v>
      </c>
      <c r="AG247" s="35" t="s">
        <v>259</v>
      </c>
      <c r="AH247" s="35" t="s">
        <v>259</v>
      </c>
      <c r="AI247" s="35" t="s">
        <v>255</v>
      </c>
      <c r="AJ247" s="35" t="s">
        <v>259</v>
      </c>
      <c r="AK247" s="8" t="s">
        <v>292</v>
      </c>
      <c r="AL247" s="8" t="s">
        <v>260</v>
      </c>
      <c r="AM247" s="8" t="s">
        <v>278</v>
      </c>
      <c r="AN247" s="8" t="s">
        <v>315</v>
      </c>
      <c r="AO247" s="8" t="s">
        <v>294</v>
      </c>
      <c r="AP247" s="35" t="s">
        <v>272</v>
      </c>
      <c r="AQ247" s="39" t="n">
        <v>41.6</v>
      </c>
      <c r="AR247" s="39" t="n">
        <v>4.6</v>
      </c>
      <c r="AS247" s="33" t="n">
        <v>4</v>
      </c>
      <c r="AT247" s="45"/>
      <c r="AU247" s="45" t="n">
        <v>487.93</v>
      </c>
      <c r="AV247" s="45" t="n">
        <v>314</v>
      </c>
      <c r="AW247" s="39" t="n">
        <v>83.2</v>
      </c>
      <c r="AX247" s="39" t="n">
        <v>59.5</v>
      </c>
      <c r="AY247" s="39" t="n">
        <v>5.6</v>
      </c>
      <c r="AZ247" s="39" t="n">
        <v>16</v>
      </c>
      <c r="BA247" s="39" t="n">
        <v>0</v>
      </c>
      <c r="BB247" s="39" t="n">
        <v>44.5</v>
      </c>
      <c r="BC247" s="8" t="s">
        <v>868</v>
      </c>
      <c r="BD247" s="47" t="s">
        <v>423</v>
      </c>
      <c r="BE247" s="41" t="s">
        <v>869</v>
      </c>
    </row>
    <row r="248" customFormat="false" ht="15" hidden="false" customHeight="false" outlineLevel="0" collapsed="false">
      <c r="A248" s="33" t="n">
        <f aca="false">RANK(B248,$B$5:$B$266)</f>
        <v>244</v>
      </c>
      <c r="B248" s="34" t="n">
        <f aca="false">ROUND((AW248*'Scoring Weights'!$B$5+AX248*'Scoring Weights'!$B$6+AY248*'Scoring Weights'!$B$7+BA248*'Scoring Weights'!$B$8+AZ248*'Scoring Weights'!$B$9+BB248*'Scoring Weights'!$B$10)/MAX('Scoring Weights'!$B$11,1),1)</f>
        <v>40.1</v>
      </c>
      <c r="C248" s="35" t="str">
        <f aca="false">IF(AND(H248&lt;='Search Criteria'!$B$5,D248&gt;='Search Criteria'!$B$6,AQ248&lt;='Search Criteria'!$B$7,I248&lt;=INDEX('Search Criteria'!$B$18:$B$20,MATCH(E248,'Search Criteria'!$A$18:$A$20,0)),OR(NOT('Search Criteria'!$B$8),L248&lt;&gt;"FWD"),OR(NOT('Search Criteria'!$B$9),T248="Yes"),OR(NOT('Search Criteria'!$B$10),W248&gt;0),OR(NOT('Search Criteria'!$B$11),X248="Yes"),OR(NOT('Search Criteria'!$B$12),O248="GREAT",O248="GOOD"),OR(NOT('Search Criteria'!$B$13),K248="Yes")),"YES","no")</f>
        <v>no</v>
      </c>
      <c r="D248" s="33" t="n">
        <v>2024</v>
      </c>
      <c r="E248" s="8" t="s">
        <v>92</v>
      </c>
      <c r="F248" s="8" t="s">
        <v>236</v>
      </c>
      <c r="G248" s="8" t="s">
        <v>453</v>
      </c>
      <c r="H248" s="45" t="n">
        <v>34775</v>
      </c>
      <c r="I248" s="46" t="n">
        <v>96350</v>
      </c>
      <c r="J248" s="37" t="n">
        <f aca="false">IFERROR(ROUND(I248/MAX(2026-D248,0.5),0),"")</f>
        <v>48175</v>
      </c>
      <c r="K248" s="35" t="s">
        <v>259</v>
      </c>
      <c r="L248" s="35" t="s">
        <v>256</v>
      </c>
      <c r="M248" s="35" t="s">
        <v>302</v>
      </c>
      <c r="N248" s="33" t="n">
        <v>39</v>
      </c>
      <c r="O248" s="35" t="s">
        <v>276</v>
      </c>
      <c r="P248" s="45" t="n">
        <v>28285</v>
      </c>
      <c r="Q248" s="38" t="n">
        <v>-0.229</v>
      </c>
      <c r="R248" s="35" t="s">
        <v>258</v>
      </c>
      <c r="S248" s="45" t="n">
        <v>300</v>
      </c>
      <c r="T248" s="35" t="s">
        <v>259</v>
      </c>
      <c r="U248" s="33" t="n">
        <v>2</v>
      </c>
      <c r="V248" s="35" t="s">
        <v>255</v>
      </c>
      <c r="W248" s="33" t="n">
        <v>13</v>
      </c>
      <c r="X248" s="35" t="s">
        <v>255</v>
      </c>
      <c r="Y248" s="35" t="s">
        <v>255</v>
      </c>
      <c r="Z248" s="35" t="s">
        <v>255</v>
      </c>
      <c r="AA248" s="35" t="s">
        <v>255</v>
      </c>
      <c r="AB248" s="35" t="s">
        <v>255</v>
      </c>
      <c r="AC248" s="35" t="s">
        <v>255</v>
      </c>
      <c r="AD248" s="35" t="s">
        <v>255</v>
      </c>
      <c r="AE248" s="35" t="s">
        <v>259</v>
      </c>
      <c r="AF248" s="35" t="s">
        <v>255</v>
      </c>
      <c r="AG248" s="35" t="s">
        <v>259</v>
      </c>
      <c r="AH248" s="35" t="s">
        <v>255</v>
      </c>
      <c r="AI248" s="35" t="s">
        <v>255</v>
      </c>
      <c r="AJ248" s="35" t="s">
        <v>259</v>
      </c>
      <c r="AK248" s="8" t="s">
        <v>269</v>
      </c>
      <c r="AL248" s="8" t="s">
        <v>261</v>
      </c>
      <c r="AM248" s="8" t="s">
        <v>278</v>
      </c>
      <c r="AN248" s="8" t="s">
        <v>870</v>
      </c>
      <c r="AO248" s="8" t="s">
        <v>398</v>
      </c>
      <c r="AP248" s="35" t="s">
        <v>265</v>
      </c>
      <c r="AQ248" s="39" t="n">
        <v>60</v>
      </c>
      <c r="AR248" s="39" t="n">
        <v>4.5</v>
      </c>
      <c r="AS248" s="33" t="n">
        <v>41</v>
      </c>
      <c r="AT248" s="45"/>
      <c r="AU248" s="45" t="n">
        <v>621.21</v>
      </c>
      <c r="AV248" s="45" t="n">
        <v>252</v>
      </c>
      <c r="AW248" s="39" t="n">
        <v>77.6</v>
      </c>
      <c r="AX248" s="39" t="n">
        <v>34.1</v>
      </c>
      <c r="AY248" s="39" t="n">
        <v>2.6</v>
      </c>
      <c r="AZ248" s="39" t="n">
        <v>78</v>
      </c>
      <c r="BA248" s="39" t="n">
        <v>0</v>
      </c>
      <c r="BB248" s="39" t="n">
        <v>19.9</v>
      </c>
      <c r="BC248" s="8" t="s">
        <v>871</v>
      </c>
      <c r="BD248" s="47" t="s">
        <v>346</v>
      </c>
      <c r="BE248" s="41" t="s">
        <v>872</v>
      </c>
    </row>
    <row r="249" customFormat="false" ht="15" hidden="false" customHeight="false" outlineLevel="0" collapsed="false">
      <c r="A249" s="33" t="n">
        <f aca="false">RANK(B249,$B$5:$B$266)</f>
        <v>245</v>
      </c>
      <c r="B249" s="34" t="n">
        <f aca="false">ROUND((AW249*'Scoring Weights'!$B$5+AX249*'Scoring Weights'!$B$6+AY249*'Scoring Weights'!$B$7+BA249*'Scoring Weights'!$B$8+AZ249*'Scoring Weights'!$B$9+BB249*'Scoring Weights'!$B$10)/MAX('Scoring Weights'!$B$11,1),1)</f>
        <v>39.8</v>
      </c>
      <c r="C249" s="35" t="str">
        <f aca="false">IF(AND(H249&lt;='Search Criteria'!$B$5,D249&gt;='Search Criteria'!$B$6,AQ249&lt;='Search Criteria'!$B$7,I249&lt;=INDEX('Search Criteria'!$B$18:$B$20,MATCH(E249,'Search Criteria'!$A$18:$A$20,0)),OR(NOT('Search Criteria'!$B$8),L249&lt;&gt;"FWD"),OR(NOT('Search Criteria'!$B$9),T249="Yes"),OR(NOT('Search Criteria'!$B$10),W249&gt;0),OR(NOT('Search Criteria'!$B$11),X249="Yes"),OR(NOT('Search Criteria'!$B$12),O249="GREAT",O249="GOOD"),OR(NOT('Search Criteria'!$B$13),K249="Yes")),"YES","no")</f>
        <v>no</v>
      </c>
      <c r="D249" s="33" t="n">
        <v>2024</v>
      </c>
      <c r="E249" s="8" t="s">
        <v>95</v>
      </c>
      <c r="F249" s="8" t="s">
        <v>234</v>
      </c>
      <c r="G249" s="8" t="s">
        <v>407</v>
      </c>
      <c r="H249" s="45" t="n">
        <v>20091</v>
      </c>
      <c r="I249" s="46" t="n">
        <v>128137</v>
      </c>
      <c r="J249" s="37" t="n">
        <f aca="false">IFERROR(ROUND(I249/MAX(2026-D249,0.5),0),"")</f>
        <v>64069</v>
      </c>
      <c r="K249" s="35" t="s">
        <v>259</v>
      </c>
      <c r="L249" s="35" t="s">
        <v>256</v>
      </c>
      <c r="M249" s="35" t="s">
        <v>257</v>
      </c>
      <c r="N249" s="33" t="n">
        <v>28</v>
      </c>
      <c r="O249" s="35" t="s">
        <v>258</v>
      </c>
      <c r="P249" s="45" t="n">
        <v>19137</v>
      </c>
      <c r="Q249" s="38" t="n">
        <v>-0.05</v>
      </c>
      <c r="R249" s="35" t="s">
        <v>277</v>
      </c>
      <c r="S249" s="45"/>
      <c r="T249" s="35" t="s">
        <v>259</v>
      </c>
      <c r="U249" s="33" t="n">
        <v>1</v>
      </c>
      <c r="V249" s="35" t="s">
        <v>259</v>
      </c>
      <c r="W249" s="33" t="n">
        <v>25</v>
      </c>
      <c r="X249" s="35" t="s">
        <v>255</v>
      </c>
      <c r="Y249" s="35" t="s">
        <v>255</v>
      </c>
      <c r="Z249" s="35" t="s">
        <v>259</v>
      </c>
      <c r="AA249" s="35" t="s">
        <v>259</v>
      </c>
      <c r="AB249" s="35" t="s">
        <v>255</v>
      </c>
      <c r="AC249" s="35" t="s">
        <v>255</v>
      </c>
      <c r="AD249" s="35" t="s">
        <v>255</v>
      </c>
      <c r="AE249" s="35" t="s">
        <v>259</v>
      </c>
      <c r="AF249" s="35" t="s">
        <v>259</v>
      </c>
      <c r="AG249" s="35" t="s">
        <v>259</v>
      </c>
      <c r="AH249" s="35" t="s">
        <v>259</v>
      </c>
      <c r="AI249" s="35" t="s">
        <v>255</v>
      </c>
      <c r="AJ249" s="35" t="s">
        <v>259</v>
      </c>
      <c r="AK249" s="8" t="s">
        <v>435</v>
      </c>
      <c r="AL249" s="8" t="s">
        <v>261</v>
      </c>
      <c r="AM249" s="8" t="s">
        <v>278</v>
      </c>
      <c r="AN249" s="8" t="s">
        <v>533</v>
      </c>
      <c r="AO249" s="8" t="s">
        <v>506</v>
      </c>
      <c r="AP249" s="35" t="s">
        <v>272</v>
      </c>
      <c r="AQ249" s="39" t="n">
        <v>52.6</v>
      </c>
      <c r="AR249" s="39" t="n">
        <v>4.5</v>
      </c>
      <c r="AS249" s="33" t="n">
        <v>20</v>
      </c>
      <c r="AT249" s="45"/>
      <c r="AU249" s="45" t="n">
        <v>358.9</v>
      </c>
      <c r="AV249" s="45" t="n">
        <v>314</v>
      </c>
      <c r="AW249" s="39" t="n">
        <v>66.5</v>
      </c>
      <c r="AX249" s="39" t="n">
        <v>70</v>
      </c>
      <c r="AY249" s="39" t="n">
        <v>0</v>
      </c>
      <c r="AZ249" s="39" t="n">
        <v>40</v>
      </c>
      <c r="BA249" s="39" t="n">
        <v>0</v>
      </c>
      <c r="BB249" s="39" t="n">
        <v>29.9</v>
      </c>
      <c r="BC249" s="8" t="s">
        <v>873</v>
      </c>
      <c r="BD249" s="47" t="s">
        <v>423</v>
      </c>
      <c r="BE249" s="41" t="s">
        <v>874</v>
      </c>
    </row>
    <row r="250" customFormat="false" ht="15" hidden="false" customHeight="false" outlineLevel="0" collapsed="false">
      <c r="A250" s="33" t="n">
        <f aca="false">RANK(B250,$B$5:$B$266)</f>
        <v>246</v>
      </c>
      <c r="B250" s="34" t="n">
        <f aca="false">ROUND((AW250*'Scoring Weights'!$B$5+AX250*'Scoring Weights'!$B$6+AY250*'Scoring Weights'!$B$7+BA250*'Scoring Weights'!$B$8+AZ250*'Scoring Weights'!$B$9+BB250*'Scoring Weights'!$B$10)/MAX('Scoring Weights'!$B$11,1),1)</f>
        <v>39.4</v>
      </c>
      <c r="C250" s="35" t="str">
        <f aca="false">IF(AND(H250&lt;='Search Criteria'!$B$5,D250&gt;='Search Criteria'!$B$6,AQ250&lt;='Search Criteria'!$B$7,I250&lt;=INDEX('Search Criteria'!$B$18:$B$20,MATCH(E250,'Search Criteria'!$A$18:$A$20,0)),OR(NOT('Search Criteria'!$B$8),L250&lt;&gt;"FWD"),OR(NOT('Search Criteria'!$B$9),T250="Yes"),OR(NOT('Search Criteria'!$B$10),W250&gt;0),OR(NOT('Search Criteria'!$B$11),X250="Yes"),OR(NOT('Search Criteria'!$B$12),O250="GREAT",O250="GOOD"),OR(NOT('Search Criteria'!$B$13),K250="Yes")),"YES","no")</f>
        <v>no</v>
      </c>
      <c r="D250" s="33" t="n">
        <v>2024</v>
      </c>
      <c r="E250" s="8" t="s">
        <v>94</v>
      </c>
      <c r="F250" s="8" t="s">
        <v>232</v>
      </c>
      <c r="G250" s="8" t="s">
        <v>301</v>
      </c>
      <c r="H250" s="45" t="n">
        <v>28781</v>
      </c>
      <c r="I250" s="46" t="n">
        <v>74035</v>
      </c>
      <c r="J250" s="37" t="n">
        <f aca="false">IFERROR(ROUND(I250/MAX(2026-D250,0.5),0),"")</f>
        <v>37018</v>
      </c>
      <c r="K250" s="35" t="s">
        <v>259</v>
      </c>
      <c r="L250" s="35" t="s">
        <v>256</v>
      </c>
      <c r="M250" s="35" t="s">
        <v>302</v>
      </c>
      <c r="N250" s="33" t="n">
        <v>37</v>
      </c>
      <c r="O250" s="35" t="s">
        <v>276</v>
      </c>
      <c r="P250" s="45" t="n">
        <v>29791</v>
      </c>
      <c r="Q250" s="38" t="n">
        <v>0.034</v>
      </c>
      <c r="R250" s="35" t="s">
        <v>277</v>
      </c>
      <c r="S250" s="45"/>
      <c r="T250" s="35" t="s">
        <v>259</v>
      </c>
      <c r="U250" s="33" t="n">
        <v>2</v>
      </c>
      <c r="V250" s="35" t="s">
        <v>255</v>
      </c>
      <c r="W250" s="33" t="n">
        <v>6</v>
      </c>
      <c r="X250" s="35" t="s">
        <v>255</v>
      </c>
      <c r="Y250" s="35" t="s">
        <v>255</v>
      </c>
      <c r="Z250" s="35" t="s">
        <v>259</v>
      </c>
      <c r="AA250" s="35" t="s">
        <v>255</v>
      </c>
      <c r="AB250" s="35" t="s">
        <v>255</v>
      </c>
      <c r="AC250" s="35" t="s">
        <v>259</v>
      </c>
      <c r="AD250" s="35" t="s">
        <v>255</v>
      </c>
      <c r="AE250" s="35" t="s">
        <v>259</v>
      </c>
      <c r="AF250" s="35" t="s">
        <v>259</v>
      </c>
      <c r="AG250" s="35" t="s">
        <v>259</v>
      </c>
      <c r="AH250" s="35" t="s">
        <v>259</v>
      </c>
      <c r="AI250" s="35" t="s">
        <v>255</v>
      </c>
      <c r="AJ250" s="35" t="s">
        <v>259</v>
      </c>
      <c r="AK250" s="8" t="s">
        <v>367</v>
      </c>
      <c r="AL250" s="8" t="s">
        <v>261</v>
      </c>
      <c r="AM250" s="8" t="s">
        <v>303</v>
      </c>
      <c r="AN250" s="8" t="s">
        <v>639</v>
      </c>
      <c r="AO250" s="8" t="s">
        <v>340</v>
      </c>
      <c r="AP250" s="35" t="s">
        <v>265</v>
      </c>
      <c r="AQ250" s="39" t="n">
        <v>59.6</v>
      </c>
      <c r="AR250" s="39" t="n">
        <v>4.1</v>
      </c>
      <c r="AS250" s="33" t="n">
        <v>10</v>
      </c>
      <c r="AT250" s="45"/>
      <c r="AU250" s="45" t="n">
        <v>514.13</v>
      </c>
      <c r="AV250" s="45"/>
      <c r="AW250" s="39" t="n">
        <v>72.8</v>
      </c>
      <c r="AX250" s="39" t="n">
        <v>61.7</v>
      </c>
      <c r="AY250" s="39" t="n">
        <v>0</v>
      </c>
      <c r="AZ250" s="39" t="n">
        <v>42</v>
      </c>
      <c r="BA250" s="39" t="n">
        <v>0</v>
      </c>
      <c r="BB250" s="39" t="n">
        <v>20.5</v>
      </c>
      <c r="BC250" s="8" t="s">
        <v>875</v>
      </c>
      <c r="BD250" s="47" t="s">
        <v>307</v>
      </c>
      <c r="BE250" s="41" t="s">
        <v>876</v>
      </c>
    </row>
    <row r="251" customFormat="false" ht="15" hidden="false" customHeight="false" outlineLevel="0" collapsed="false">
      <c r="A251" s="33" t="n">
        <f aca="false">RANK(B251,$B$5:$B$266)</f>
        <v>246</v>
      </c>
      <c r="B251" s="34" t="n">
        <f aca="false">ROUND((AW251*'Scoring Weights'!$B$5+AX251*'Scoring Weights'!$B$6+AY251*'Scoring Weights'!$B$7+BA251*'Scoring Weights'!$B$8+AZ251*'Scoring Weights'!$B$9+BB251*'Scoring Weights'!$B$10)/MAX('Scoring Weights'!$B$11,1),1)</f>
        <v>39.4</v>
      </c>
      <c r="C251" s="35" t="str">
        <f aca="false">IF(AND(H251&lt;='Search Criteria'!$B$5,D251&gt;='Search Criteria'!$B$6,AQ251&lt;='Search Criteria'!$B$7,I251&lt;=INDEX('Search Criteria'!$B$18:$B$20,MATCH(E251,'Search Criteria'!$A$18:$A$20,0)),OR(NOT('Search Criteria'!$B$8),L251&lt;&gt;"FWD"),OR(NOT('Search Criteria'!$B$9),T251="Yes"),OR(NOT('Search Criteria'!$B$10),W251&gt;0),OR(NOT('Search Criteria'!$B$11),X251="Yes"),OR(NOT('Search Criteria'!$B$12),O251="GREAT",O251="GOOD"),OR(NOT('Search Criteria'!$B$13),K251="Yes")),"YES","no")</f>
        <v>no</v>
      </c>
      <c r="D251" s="33" t="n">
        <v>2023</v>
      </c>
      <c r="E251" s="8" t="s">
        <v>92</v>
      </c>
      <c r="F251" s="8" t="s">
        <v>236</v>
      </c>
      <c r="G251" s="8" t="s">
        <v>453</v>
      </c>
      <c r="H251" s="45" t="n">
        <v>32995</v>
      </c>
      <c r="I251" s="46" t="n">
        <v>86193</v>
      </c>
      <c r="J251" s="37" t="n">
        <f aca="false">IFERROR(ROUND(I251/MAX(2026-D251,0.5),0),"")</f>
        <v>28731</v>
      </c>
      <c r="K251" s="35" t="s">
        <v>259</v>
      </c>
      <c r="L251" s="35" t="s">
        <v>256</v>
      </c>
      <c r="M251" s="35" t="s">
        <v>302</v>
      </c>
      <c r="N251" s="33" t="n">
        <v>40</v>
      </c>
      <c r="O251" s="35" t="s">
        <v>276</v>
      </c>
      <c r="P251" s="45" t="n">
        <v>27902</v>
      </c>
      <c r="Q251" s="38" t="n">
        <v>-0.183</v>
      </c>
      <c r="R251" s="35" t="s">
        <v>277</v>
      </c>
      <c r="S251" s="45"/>
      <c r="T251" s="35" t="s">
        <v>259</v>
      </c>
      <c r="U251" s="33" t="n">
        <v>1</v>
      </c>
      <c r="V251" s="35" t="s">
        <v>259</v>
      </c>
      <c r="W251" s="33" t="n">
        <v>13</v>
      </c>
      <c r="X251" s="35" t="s">
        <v>255</v>
      </c>
      <c r="Y251" s="35" t="s">
        <v>255</v>
      </c>
      <c r="Z251" s="35" t="s">
        <v>259</v>
      </c>
      <c r="AA251" s="35" t="s">
        <v>255</v>
      </c>
      <c r="AB251" s="35" t="s">
        <v>255</v>
      </c>
      <c r="AC251" s="35" t="s">
        <v>255</v>
      </c>
      <c r="AD251" s="35" t="s">
        <v>255</v>
      </c>
      <c r="AE251" s="35" t="s">
        <v>259</v>
      </c>
      <c r="AF251" s="35" t="s">
        <v>255</v>
      </c>
      <c r="AG251" s="35" t="s">
        <v>259</v>
      </c>
      <c r="AH251" s="35" t="s">
        <v>259</v>
      </c>
      <c r="AI251" s="35" t="s">
        <v>255</v>
      </c>
      <c r="AJ251" s="35" t="s">
        <v>259</v>
      </c>
      <c r="AK251" s="8" t="s">
        <v>309</v>
      </c>
      <c r="AL251" s="8" t="s">
        <v>358</v>
      </c>
      <c r="AM251" s="8" t="s">
        <v>278</v>
      </c>
      <c r="AN251" s="8" t="s">
        <v>877</v>
      </c>
      <c r="AO251" s="8" t="s">
        <v>878</v>
      </c>
      <c r="AP251" s="35" t="s">
        <v>265</v>
      </c>
      <c r="AQ251" s="39" t="n">
        <v>68.2</v>
      </c>
      <c r="AR251" s="39"/>
      <c r="AS251" s="33" t="n">
        <v>50</v>
      </c>
      <c r="AT251" s="45" t="n">
        <v>3000</v>
      </c>
      <c r="AU251" s="45" t="n">
        <v>589.41</v>
      </c>
      <c r="AV251" s="45"/>
      <c r="AW251" s="39" t="n">
        <v>80.8</v>
      </c>
      <c r="AX251" s="39" t="n">
        <v>34.1</v>
      </c>
      <c r="AY251" s="39" t="n">
        <v>9.7</v>
      </c>
      <c r="AZ251" s="39" t="n">
        <v>62</v>
      </c>
      <c r="BA251" s="39" t="n">
        <v>0</v>
      </c>
      <c r="BB251" s="39" t="n">
        <v>9.1</v>
      </c>
      <c r="BC251" s="8" t="s">
        <v>879</v>
      </c>
      <c r="BD251" s="47" t="s">
        <v>451</v>
      </c>
      <c r="BE251" s="41" t="s">
        <v>880</v>
      </c>
    </row>
    <row r="252" customFormat="false" ht="15" hidden="false" customHeight="false" outlineLevel="0" collapsed="false">
      <c r="A252" s="33" t="n">
        <f aca="false">RANK(B252,$B$5:$B$266)</f>
        <v>246</v>
      </c>
      <c r="B252" s="34" t="n">
        <f aca="false">ROUND((AW252*'Scoring Weights'!$B$5+AX252*'Scoring Weights'!$B$6+AY252*'Scoring Weights'!$B$7+BA252*'Scoring Weights'!$B$8+AZ252*'Scoring Weights'!$B$9+BB252*'Scoring Weights'!$B$10)/MAX('Scoring Weights'!$B$11,1),1)</f>
        <v>39.4</v>
      </c>
      <c r="C252" s="35" t="str">
        <f aca="false">IF(AND(H252&lt;='Search Criteria'!$B$5,D252&gt;='Search Criteria'!$B$6,AQ252&lt;='Search Criteria'!$B$7,I252&lt;=INDEX('Search Criteria'!$B$18:$B$20,MATCH(E252,'Search Criteria'!$A$18:$A$20,0)),OR(NOT('Search Criteria'!$B$8),L252&lt;&gt;"FWD"),OR(NOT('Search Criteria'!$B$9),T252="Yes"),OR(NOT('Search Criteria'!$B$10),W252&gt;0),OR(NOT('Search Criteria'!$B$11),X252="Yes"),OR(NOT('Search Criteria'!$B$12),O252="GREAT",O252="GOOD"),OR(NOT('Search Criteria'!$B$13),K252="Yes")),"YES","no")</f>
        <v>no</v>
      </c>
      <c r="D252" s="33" t="n">
        <v>2023</v>
      </c>
      <c r="E252" s="8" t="s">
        <v>94</v>
      </c>
      <c r="F252" s="8" t="s">
        <v>232</v>
      </c>
      <c r="G252" s="8" t="s">
        <v>268</v>
      </c>
      <c r="H252" s="45" t="n">
        <v>26561</v>
      </c>
      <c r="I252" s="46" t="n">
        <v>93487</v>
      </c>
      <c r="J252" s="37" t="n">
        <f aca="false">IFERROR(ROUND(I252/MAX(2026-D252,0.5),0),"")</f>
        <v>31162</v>
      </c>
      <c r="K252" s="35" t="s">
        <v>259</v>
      </c>
      <c r="L252" s="35" t="s">
        <v>256</v>
      </c>
      <c r="M252" s="35" t="s">
        <v>257</v>
      </c>
      <c r="N252" s="33" t="n">
        <v>29</v>
      </c>
      <c r="O252" s="35" t="s">
        <v>276</v>
      </c>
      <c r="P252" s="45" t="n">
        <v>27309</v>
      </c>
      <c r="Q252" s="38" t="n">
        <v>0.027</v>
      </c>
      <c r="R252" s="35" t="s">
        <v>258</v>
      </c>
      <c r="S252" s="45" t="n">
        <v>690</v>
      </c>
      <c r="T252" s="35" t="s">
        <v>259</v>
      </c>
      <c r="U252" s="33" t="n">
        <v>2</v>
      </c>
      <c r="V252" s="35" t="s">
        <v>255</v>
      </c>
      <c r="W252" s="33" t="n">
        <v>13</v>
      </c>
      <c r="X252" s="35" t="s">
        <v>255</v>
      </c>
      <c r="Y252" s="35" t="s">
        <v>255</v>
      </c>
      <c r="Z252" s="35" t="s">
        <v>259</v>
      </c>
      <c r="AA252" s="35" t="s">
        <v>255</v>
      </c>
      <c r="AB252" s="35" t="s">
        <v>255</v>
      </c>
      <c r="AC252" s="35" t="s">
        <v>259</v>
      </c>
      <c r="AD252" s="35" t="s">
        <v>259</v>
      </c>
      <c r="AE252" s="35" t="s">
        <v>259</v>
      </c>
      <c r="AF252" s="35" t="s">
        <v>259</v>
      </c>
      <c r="AG252" s="35" t="s">
        <v>259</v>
      </c>
      <c r="AH252" s="35" t="s">
        <v>255</v>
      </c>
      <c r="AI252" s="35" t="s">
        <v>255</v>
      </c>
      <c r="AJ252" s="35" t="s">
        <v>259</v>
      </c>
      <c r="AK252" s="8" t="s">
        <v>367</v>
      </c>
      <c r="AL252" s="8" t="s">
        <v>261</v>
      </c>
      <c r="AM252" s="8" t="s">
        <v>262</v>
      </c>
      <c r="AN252" s="8" t="s">
        <v>378</v>
      </c>
      <c r="AO252" s="8" t="s">
        <v>379</v>
      </c>
      <c r="AP252" s="35" t="s">
        <v>265</v>
      </c>
      <c r="AQ252" s="39" t="n">
        <v>46.9</v>
      </c>
      <c r="AR252" s="39" t="n">
        <v>4.7</v>
      </c>
      <c r="AS252" s="33" t="n">
        <v>15</v>
      </c>
      <c r="AT252" s="45"/>
      <c r="AU252" s="45" t="n">
        <v>474.47</v>
      </c>
      <c r="AV252" s="45" t="n">
        <v>261</v>
      </c>
      <c r="AW252" s="39" t="n">
        <v>73.4</v>
      </c>
      <c r="AX252" s="39" t="n">
        <v>60.7</v>
      </c>
      <c r="AY252" s="39" t="n">
        <v>0</v>
      </c>
      <c r="AZ252" s="39" t="n">
        <v>36</v>
      </c>
      <c r="BA252" s="39" t="n">
        <v>0</v>
      </c>
      <c r="BB252" s="39" t="n">
        <v>37.5</v>
      </c>
      <c r="BC252" s="8" t="s">
        <v>881</v>
      </c>
      <c r="BD252" s="47" t="s">
        <v>330</v>
      </c>
      <c r="BE252" s="41" t="s">
        <v>882</v>
      </c>
    </row>
    <row r="253" customFormat="false" ht="15" hidden="false" customHeight="false" outlineLevel="0" collapsed="false">
      <c r="A253" s="33" t="n">
        <f aca="false">RANK(B253,$B$5:$B$266)</f>
        <v>249</v>
      </c>
      <c r="B253" s="34" t="n">
        <f aca="false">ROUND((AW253*'Scoring Weights'!$B$5+AX253*'Scoring Weights'!$B$6+AY253*'Scoring Weights'!$B$7+BA253*'Scoring Weights'!$B$8+AZ253*'Scoring Weights'!$B$9+BB253*'Scoring Weights'!$B$10)/MAX('Scoring Weights'!$B$11,1),1)</f>
        <v>39.3</v>
      </c>
      <c r="C253" s="35" t="str">
        <f aca="false">IF(AND(H253&lt;='Search Criteria'!$B$5,D253&gt;='Search Criteria'!$B$6,AQ253&lt;='Search Criteria'!$B$7,I253&lt;=INDEX('Search Criteria'!$B$18:$B$20,MATCH(E253,'Search Criteria'!$A$18:$A$20,0)),OR(NOT('Search Criteria'!$B$8),L253&lt;&gt;"FWD"),OR(NOT('Search Criteria'!$B$9),T253="Yes"),OR(NOT('Search Criteria'!$B$10),W253&gt;0),OR(NOT('Search Criteria'!$B$11),X253="Yes"),OR(NOT('Search Criteria'!$B$12),O253="GREAT",O253="GOOD"),OR(NOT('Search Criteria'!$B$13),K253="Yes")),"YES","no")</f>
        <v>no</v>
      </c>
      <c r="D253" s="33" t="n">
        <v>2023</v>
      </c>
      <c r="E253" s="8" t="s">
        <v>95</v>
      </c>
      <c r="F253" s="8" t="s">
        <v>234</v>
      </c>
      <c r="G253" s="8" t="s">
        <v>407</v>
      </c>
      <c r="H253" s="45" t="n">
        <v>19645</v>
      </c>
      <c r="I253" s="46" t="n">
        <v>104421</v>
      </c>
      <c r="J253" s="37" t="n">
        <f aca="false">IFERROR(ROUND(I253/MAX(2026-D253,0.5),0),"")</f>
        <v>34807</v>
      </c>
      <c r="K253" s="35" t="s">
        <v>259</v>
      </c>
      <c r="L253" s="35" t="s">
        <v>256</v>
      </c>
      <c r="M253" s="35" t="s">
        <v>257</v>
      </c>
      <c r="N253" s="33" t="n">
        <v>28</v>
      </c>
      <c r="O253" s="35" t="s">
        <v>286</v>
      </c>
      <c r="P253" s="45" t="n">
        <v>19990</v>
      </c>
      <c r="Q253" s="38" t="n">
        <v>0.017</v>
      </c>
      <c r="R253" s="35" t="s">
        <v>286</v>
      </c>
      <c r="S253" s="45" t="n">
        <v>340</v>
      </c>
      <c r="T253" s="35" t="s">
        <v>259</v>
      </c>
      <c r="U253" s="33" t="n">
        <v>1</v>
      </c>
      <c r="V253" s="35" t="s">
        <v>259</v>
      </c>
      <c r="W253" s="33" t="n">
        <v>12</v>
      </c>
      <c r="X253" s="35" t="s">
        <v>255</v>
      </c>
      <c r="Y253" s="35" t="s">
        <v>255</v>
      </c>
      <c r="Z253" s="35" t="s">
        <v>259</v>
      </c>
      <c r="AA253" s="35" t="s">
        <v>259</v>
      </c>
      <c r="AB253" s="35" t="s">
        <v>255</v>
      </c>
      <c r="AC253" s="35" t="s">
        <v>255</v>
      </c>
      <c r="AD253" s="35" t="s">
        <v>255</v>
      </c>
      <c r="AE253" s="35" t="s">
        <v>259</v>
      </c>
      <c r="AF253" s="35" t="s">
        <v>259</v>
      </c>
      <c r="AG253" s="35" t="s">
        <v>259</v>
      </c>
      <c r="AH253" s="35" t="s">
        <v>259</v>
      </c>
      <c r="AI253" s="35" t="s">
        <v>255</v>
      </c>
      <c r="AJ253" s="35" t="s">
        <v>259</v>
      </c>
      <c r="AK253" s="8" t="s">
        <v>292</v>
      </c>
      <c r="AL253" s="8" t="s">
        <v>260</v>
      </c>
      <c r="AM253" s="8" t="s">
        <v>278</v>
      </c>
      <c r="AN253" s="8" t="s">
        <v>533</v>
      </c>
      <c r="AO253" s="8" t="s">
        <v>506</v>
      </c>
      <c r="AP253" s="35" t="s">
        <v>272</v>
      </c>
      <c r="AQ253" s="39" t="n">
        <v>52.6</v>
      </c>
      <c r="AR253" s="39" t="n">
        <v>4.5</v>
      </c>
      <c r="AS253" s="33" t="n">
        <v>66</v>
      </c>
      <c r="AT253" s="45"/>
      <c r="AU253" s="45" t="n">
        <v>350.93</v>
      </c>
      <c r="AV253" s="45" t="n">
        <v>314</v>
      </c>
      <c r="AW253" s="39" t="n">
        <v>66.5</v>
      </c>
      <c r="AX253" s="39" t="n">
        <v>68</v>
      </c>
      <c r="AY253" s="39" t="n">
        <v>0</v>
      </c>
      <c r="AZ253" s="39" t="n">
        <v>40</v>
      </c>
      <c r="BA253" s="39" t="n">
        <v>0</v>
      </c>
      <c r="BB253" s="39" t="n">
        <v>29.9</v>
      </c>
      <c r="BC253" s="8" t="s">
        <v>883</v>
      </c>
      <c r="BD253" s="47" t="s">
        <v>632</v>
      </c>
      <c r="BE253" s="41" t="s">
        <v>884</v>
      </c>
    </row>
    <row r="254" customFormat="false" ht="15" hidden="false" customHeight="false" outlineLevel="0" collapsed="false">
      <c r="A254" s="33" t="n">
        <f aca="false">RANK(B254,$B$5:$B$266)</f>
        <v>249</v>
      </c>
      <c r="B254" s="34" t="n">
        <f aca="false">ROUND((AW254*'Scoring Weights'!$B$5+AX254*'Scoring Weights'!$B$6+AY254*'Scoring Weights'!$B$7+BA254*'Scoring Weights'!$B$8+AZ254*'Scoring Weights'!$B$9+BB254*'Scoring Weights'!$B$10)/MAX('Scoring Weights'!$B$11,1),1)</f>
        <v>39.3</v>
      </c>
      <c r="C254" s="35" t="str">
        <f aca="false">IF(AND(H254&lt;='Search Criteria'!$B$5,D254&gt;='Search Criteria'!$B$6,AQ254&lt;='Search Criteria'!$B$7,I254&lt;=INDEX('Search Criteria'!$B$18:$B$20,MATCH(E254,'Search Criteria'!$A$18:$A$20,0)),OR(NOT('Search Criteria'!$B$8),L254&lt;&gt;"FWD"),OR(NOT('Search Criteria'!$B$9),T254="Yes"),OR(NOT('Search Criteria'!$B$10),W254&gt;0),OR(NOT('Search Criteria'!$B$11),X254="Yes"),OR(NOT('Search Criteria'!$B$12),O254="GREAT",O254="GOOD"),OR(NOT('Search Criteria'!$B$13),K254="Yes")),"YES","no")</f>
        <v>no</v>
      </c>
      <c r="D254" s="33" t="n">
        <v>2025</v>
      </c>
      <c r="E254" s="8" t="s">
        <v>92</v>
      </c>
      <c r="F254" s="8" t="s">
        <v>236</v>
      </c>
      <c r="G254" s="8" t="s">
        <v>296</v>
      </c>
      <c r="H254" s="45" t="n">
        <v>36233</v>
      </c>
      <c r="I254" s="46" t="n">
        <v>41894</v>
      </c>
      <c r="J254" s="37" t="n">
        <f aca="false">IFERROR(ROUND(I254/MAX(2026-D254,0.5),0),"")</f>
        <v>41894</v>
      </c>
      <c r="K254" s="35" t="s">
        <v>259</v>
      </c>
      <c r="L254" s="35" t="s">
        <v>256</v>
      </c>
      <c r="M254" s="35" t="s">
        <v>302</v>
      </c>
      <c r="N254" s="33" t="n">
        <v>39</v>
      </c>
      <c r="O254" s="35" t="s">
        <v>276</v>
      </c>
      <c r="P254" s="45" t="n">
        <v>33827</v>
      </c>
      <c r="Q254" s="38" t="n">
        <v>-0.071</v>
      </c>
      <c r="R254" s="35" t="s">
        <v>286</v>
      </c>
      <c r="S254" s="45" t="n">
        <v>430</v>
      </c>
      <c r="T254" s="35" t="s">
        <v>255</v>
      </c>
      <c r="U254" s="33" t="n">
        <v>1</v>
      </c>
      <c r="V254" s="35" t="s">
        <v>259</v>
      </c>
      <c r="W254" s="33" t="n">
        <v>1</v>
      </c>
      <c r="X254" s="35" t="s">
        <v>259</v>
      </c>
      <c r="Y254" s="35" t="s">
        <v>255</v>
      </c>
      <c r="Z254" s="35" t="s">
        <v>259</v>
      </c>
      <c r="AA254" s="35" t="s">
        <v>259</v>
      </c>
      <c r="AB254" s="35" t="s">
        <v>255</v>
      </c>
      <c r="AC254" s="35" t="s">
        <v>259</v>
      </c>
      <c r="AD254" s="35" t="s">
        <v>259</v>
      </c>
      <c r="AE254" s="35" t="s">
        <v>259</v>
      </c>
      <c r="AF254" s="35" t="s">
        <v>259</v>
      </c>
      <c r="AG254" s="35" t="s">
        <v>259</v>
      </c>
      <c r="AH254" s="35" t="s">
        <v>259</v>
      </c>
      <c r="AI254" s="35" t="s">
        <v>255</v>
      </c>
      <c r="AJ254" s="35" t="s">
        <v>259</v>
      </c>
      <c r="AK254" s="8" t="s">
        <v>269</v>
      </c>
      <c r="AL254" s="8" t="s">
        <v>261</v>
      </c>
      <c r="AM254" s="8" t="s">
        <v>278</v>
      </c>
      <c r="AN254" s="8" t="s">
        <v>375</v>
      </c>
      <c r="AO254" s="8" t="s">
        <v>376</v>
      </c>
      <c r="AP254" s="35" t="s">
        <v>265</v>
      </c>
      <c r="AQ254" s="39" t="n">
        <v>31.9</v>
      </c>
      <c r="AR254" s="39" t="n">
        <v>4.6</v>
      </c>
      <c r="AS254" s="33" t="n">
        <v>2</v>
      </c>
      <c r="AT254" s="45"/>
      <c r="AU254" s="45" t="n">
        <v>647.25</v>
      </c>
      <c r="AV254" s="45" t="n">
        <v>235</v>
      </c>
      <c r="AW254" s="39" t="n">
        <v>64.5</v>
      </c>
      <c r="AX254" s="39" t="n">
        <v>45.9</v>
      </c>
      <c r="AY254" s="39" t="n">
        <v>40.7</v>
      </c>
      <c r="AZ254" s="39" t="n">
        <v>16</v>
      </c>
      <c r="BA254" s="39" t="n">
        <v>0</v>
      </c>
      <c r="BB254" s="39" t="n">
        <v>57.4</v>
      </c>
      <c r="BC254" s="8" t="s">
        <v>885</v>
      </c>
      <c r="BD254" s="47" t="s">
        <v>290</v>
      </c>
      <c r="BE254" s="41" t="s">
        <v>886</v>
      </c>
    </row>
    <row r="255" customFormat="false" ht="15" hidden="false" customHeight="false" outlineLevel="0" collapsed="false">
      <c r="A255" s="33" t="n">
        <f aca="false">RANK(B255,$B$5:$B$266)</f>
        <v>251</v>
      </c>
      <c r="B255" s="34" t="n">
        <f aca="false">ROUND((AW255*'Scoring Weights'!$B$5+AX255*'Scoring Weights'!$B$6+AY255*'Scoring Weights'!$B$7+BA255*'Scoring Weights'!$B$8+AZ255*'Scoring Weights'!$B$9+BB255*'Scoring Weights'!$B$10)/MAX('Scoring Weights'!$B$11,1),1)</f>
        <v>39.2</v>
      </c>
      <c r="C255" s="35" t="str">
        <f aca="false">IF(AND(H255&lt;='Search Criteria'!$B$5,D255&gt;='Search Criteria'!$B$6,AQ255&lt;='Search Criteria'!$B$7,I255&lt;=INDEX('Search Criteria'!$B$18:$B$20,MATCH(E255,'Search Criteria'!$A$18:$A$20,0)),OR(NOT('Search Criteria'!$B$8),L255&lt;&gt;"FWD"),OR(NOT('Search Criteria'!$B$9),T255="Yes"),OR(NOT('Search Criteria'!$B$10),W255&gt;0),OR(NOT('Search Criteria'!$B$11),X255="Yes"),OR(NOT('Search Criteria'!$B$12),O255="GREAT",O255="GOOD"),OR(NOT('Search Criteria'!$B$13),K255="Yes")),"YES","no")</f>
        <v>no</v>
      </c>
      <c r="D255" s="33" t="n">
        <v>2023</v>
      </c>
      <c r="E255" s="8" t="s">
        <v>92</v>
      </c>
      <c r="F255" s="8" t="s">
        <v>236</v>
      </c>
      <c r="G255" s="8" t="s">
        <v>338</v>
      </c>
      <c r="H255" s="45" t="n">
        <v>27084</v>
      </c>
      <c r="I255" s="46" t="n">
        <v>83820</v>
      </c>
      <c r="J255" s="37" t="n">
        <f aca="false">IFERROR(ROUND(I255/MAX(2026-D255,0.5),0),"")</f>
        <v>27940</v>
      </c>
      <c r="K255" s="35" t="s">
        <v>259</v>
      </c>
      <c r="L255" s="35" t="s">
        <v>256</v>
      </c>
      <c r="M255" s="35" t="s">
        <v>302</v>
      </c>
      <c r="N255" s="33" t="n">
        <v>40</v>
      </c>
      <c r="O255" s="35" t="s">
        <v>276</v>
      </c>
      <c r="P255" s="45" t="n">
        <v>28091</v>
      </c>
      <c r="Q255" s="38" t="n">
        <v>0.036</v>
      </c>
      <c r="R255" s="35" t="s">
        <v>258</v>
      </c>
      <c r="S255" s="45" t="n">
        <v>170</v>
      </c>
      <c r="T255" s="35" t="s">
        <v>259</v>
      </c>
      <c r="U255" s="33" t="n">
        <v>1</v>
      </c>
      <c r="V255" s="35" t="s">
        <v>259</v>
      </c>
      <c r="W255" s="33" t="n">
        <v>18</v>
      </c>
      <c r="X255" s="35" t="s">
        <v>259</v>
      </c>
      <c r="Y255" s="35" t="s">
        <v>255</v>
      </c>
      <c r="Z255" s="35" t="s">
        <v>259</v>
      </c>
      <c r="AA255" s="35" t="s">
        <v>259</v>
      </c>
      <c r="AB255" s="35" t="s">
        <v>255</v>
      </c>
      <c r="AC255" s="35" t="s">
        <v>259</v>
      </c>
      <c r="AD255" s="35" t="s">
        <v>259</v>
      </c>
      <c r="AE255" s="35" t="s">
        <v>259</v>
      </c>
      <c r="AF255" s="35" t="s">
        <v>259</v>
      </c>
      <c r="AG255" s="35" t="s">
        <v>259</v>
      </c>
      <c r="AH255" s="35" t="s">
        <v>259</v>
      </c>
      <c r="AI255" s="35" t="s">
        <v>259</v>
      </c>
      <c r="AJ255" s="35" t="s">
        <v>259</v>
      </c>
      <c r="AK255" s="8" t="s">
        <v>260</v>
      </c>
      <c r="AL255" s="8" t="s">
        <v>261</v>
      </c>
      <c r="AM255" s="8" t="s">
        <v>278</v>
      </c>
      <c r="AN255" s="8" t="s">
        <v>533</v>
      </c>
      <c r="AO255" s="8" t="s">
        <v>506</v>
      </c>
      <c r="AP255" s="35" t="s">
        <v>272</v>
      </c>
      <c r="AQ255" s="39" t="n">
        <v>52.6</v>
      </c>
      <c r="AR255" s="39" t="n">
        <v>4.5</v>
      </c>
      <c r="AS255" s="33" t="n">
        <v>51</v>
      </c>
      <c r="AT255" s="45"/>
      <c r="AU255" s="45" t="n">
        <v>483.82</v>
      </c>
      <c r="AV255" s="45" t="n">
        <v>314</v>
      </c>
      <c r="AW255" s="39" t="n">
        <v>78.3</v>
      </c>
      <c r="AX255" s="39" t="n">
        <v>62</v>
      </c>
      <c r="AY255" s="39" t="n">
        <v>11.3</v>
      </c>
      <c r="AZ255" s="39" t="n">
        <v>12</v>
      </c>
      <c r="BA255" s="39" t="n">
        <v>0</v>
      </c>
      <c r="BB255" s="39" t="n">
        <v>29.9</v>
      </c>
      <c r="BC255" s="8" t="s">
        <v>887</v>
      </c>
      <c r="BD255" s="47" t="s">
        <v>451</v>
      </c>
      <c r="BE255" s="41" t="s">
        <v>888</v>
      </c>
    </row>
    <row r="256" customFormat="false" ht="15" hidden="false" customHeight="false" outlineLevel="0" collapsed="false">
      <c r="A256" s="33" t="n">
        <f aca="false">RANK(B256,$B$5:$B$266)</f>
        <v>252</v>
      </c>
      <c r="B256" s="34" t="n">
        <f aca="false">ROUND((AW256*'Scoring Weights'!$B$5+AX256*'Scoring Weights'!$B$6+AY256*'Scoring Weights'!$B$7+BA256*'Scoring Weights'!$B$8+AZ256*'Scoring Weights'!$B$9+BB256*'Scoring Weights'!$B$10)/MAX('Scoring Weights'!$B$11,1),1)</f>
        <v>38.3</v>
      </c>
      <c r="C256" s="35" t="str">
        <f aca="false">IF(AND(H256&lt;='Search Criteria'!$B$5,D256&gt;='Search Criteria'!$B$6,AQ256&lt;='Search Criteria'!$B$7,I256&lt;=INDEX('Search Criteria'!$B$18:$B$20,MATCH(E256,'Search Criteria'!$A$18:$A$20,0)),OR(NOT('Search Criteria'!$B$8),L256&lt;&gt;"FWD"),OR(NOT('Search Criteria'!$B$9),T256="Yes"),OR(NOT('Search Criteria'!$B$10),W256&gt;0),OR(NOT('Search Criteria'!$B$11),X256="Yes"),OR(NOT('Search Criteria'!$B$12),O256="GREAT",O256="GOOD"),OR(NOT('Search Criteria'!$B$13),K256="Yes")),"YES","no")</f>
        <v>no</v>
      </c>
      <c r="D256" s="33" t="n">
        <v>2023</v>
      </c>
      <c r="E256" s="8" t="s">
        <v>92</v>
      </c>
      <c r="F256" s="8" t="s">
        <v>236</v>
      </c>
      <c r="G256" s="8" t="s">
        <v>648</v>
      </c>
      <c r="H256" s="45" t="n">
        <v>31559</v>
      </c>
      <c r="I256" s="46" t="n">
        <v>75459</v>
      </c>
      <c r="J256" s="37" t="n">
        <f aca="false">IFERROR(ROUND(I256/MAX(2026-D256,0.5),0),"")</f>
        <v>25153</v>
      </c>
      <c r="K256" s="35" t="s">
        <v>259</v>
      </c>
      <c r="L256" s="35" t="s">
        <v>256</v>
      </c>
      <c r="M256" s="35" t="s">
        <v>302</v>
      </c>
      <c r="N256" s="33" t="n">
        <v>40</v>
      </c>
      <c r="O256" s="35" t="s">
        <v>297</v>
      </c>
      <c r="P256" s="45" t="n">
        <v>28759</v>
      </c>
      <c r="Q256" s="38" t="n">
        <v>-0.097</v>
      </c>
      <c r="R256" s="35" t="s">
        <v>258</v>
      </c>
      <c r="S256" s="45" t="n">
        <v>380</v>
      </c>
      <c r="T256" s="35" t="s">
        <v>259</v>
      </c>
      <c r="U256" s="33" t="n">
        <v>2</v>
      </c>
      <c r="V256" s="35" t="s">
        <v>255</v>
      </c>
      <c r="W256" s="33" t="n">
        <v>15</v>
      </c>
      <c r="X256" s="35" t="s">
        <v>259</v>
      </c>
      <c r="Y256" s="35" t="s">
        <v>255</v>
      </c>
      <c r="Z256" s="35" t="s">
        <v>259</v>
      </c>
      <c r="AA256" s="35" t="s">
        <v>259</v>
      </c>
      <c r="AB256" s="35" t="s">
        <v>255</v>
      </c>
      <c r="AC256" s="35" t="s">
        <v>255</v>
      </c>
      <c r="AD256" s="35" t="s">
        <v>255</v>
      </c>
      <c r="AE256" s="35" t="s">
        <v>259</v>
      </c>
      <c r="AF256" s="35" t="s">
        <v>259</v>
      </c>
      <c r="AG256" s="35" t="s">
        <v>259</v>
      </c>
      <c r="AH256" s="35" t="s">
        <v>259</v>
      </c>
      <c r="AI256" s="35" t="s">
        <v>255</v>
      </c>
      <c r="AJ256" s="35" t="s">
        <v>259</v>
      </c>
      <c r="AK256" s="8" t="s">
        <v>292</v>
      </c>
      <c r="AL256" s="8" t="s">
        <v>260</v>
      </c>
      <c r="AM256" s="8" t="s">
        <v>278</v>
      </c>
      <c r="AN256" s="8" t="s">
        <v>546</v>
      </c>
      <c r="AO256" s="8" t="s">
        <v>340</v>
      </c>
      <c r="AP256" s="35" t="s">
        <v>265</v>
      </c>
      <c r="AQ256" s="39" t="n">
        <v>59.1</v>
      </c>
      <c r="AR256" s="39" t="n">
        <v>4.4</v>
      </c>
      <c r="AS256" s="33" t="n">
        <v>18</v>
      </c>
      <c r="AT256" s="45" t="n">
        <v>-463</v>
      </c>
      <c r="AU256" s="45" t="n">
        <v>563.76</v>
      </c>
      <c r="AV256" s="45" t="n">
        <v>660</v>
      </c>
      <c r="AW256" s="39" t="n">
        <v>77.6</v>
      </c>
      <c r="AX256" s="39" t="n">
        <v>38.1</v>
      </c>
      <c r="AY256" s="39" t="n">
        <v>17.2</v>
      </c>
      <c r="AZ256" s="39" t="n">
        <v>40</v>
      </c>
      <c r="BA256" s="39" t="n">
        <v>0</v>
      </c>
      <c r="BB256" s="39" t="n">
        <v>21.2</v>
      </c>
      <c r="BC256" s="8" t="s">
        <v>889</v>
      </c>
      <c r="BD256" s="47" t="s">
        <v>451</v>
      </c>
      <c r="BE256" s="41" t="s">
        <v>890</v>
      </c>
    </row>
    <row r="257" customFormat="false" ht="15" hidden="false" customHeight="false" outlineLevel="0" collapsed="false">
      <c r="A257" s="33" t="n">
        <f aca="false">RANK(B257,$B$5:$B$266)</f>
        <v>252</v>
      </c>
      <c r="B257" s="34" t="n">
        <f aca="false">ROUND((AW257*'Scoring Weights'!$B$5+AX257*'Scoring Weights'!$B$6+AY257*'Scoring Weights'!$B$7+BA257*'Scoring Weights'!$B$8+AZ257*'Scoring Weights'!$B$9+BB257*'Scoring Weights'!$B$10)/MAX('Scoring Weights'!$B$11,1),1)</f>
        <v>38.3</v>
      </c>
      <c r="C257" s="35" t="str">
        <f aca="false">IF(AND(H257&lt;='Search Criteria'!$B$5,D257&gt;='Search Criteria'!$B$6,AQ257&lt;='Search Criteria'!$B$7,I257&lt;=INDEX('Search Criteria'!$B$18:$B$20,MATCH(E257,'Search Criteria'!$A$18:$A$20,0)),OR(NOT('Search Criteria'!$B$8),L257&lt;&gt;"FWD"),OR(NOT('Search Criteria'!$B$9),T257="Yes"),OR(NOT('Search Criteria'!$B$10),W257&gt;0),OR(NOT('Search Criteria'!$B$11),X257="Yes"),OR(NOT('Search Criteria'!$B$12),O257="GREAT",O257="GOOD"),OR(NOT('Search Criteria'!$B$13),K257="Yes")),"YES","no")</f>
        <v>no</v>
      </c>
      <c r="D257" s="33" t="n">
        <v>2023</v>
      </c>
      <c r="E257" s="8" t="s">
        <v>92</v>
      </c>
      <c r="F257" s="8" t="s">
        <v>236</v>
      </c>
      <c r="G257" s="8" t="s">
        <v>338</v>
      </c>
      <c r="H257" s="45" t="n">
        <v>24864</v>
      </c>
      <c r="I257" s="46" t="n">
        <v>100960</v>
      </c>
      <c r="J257" s="37" t="n">
        <f aca="false">IFERROR(ROUND(I257/MAX(2026-D257,0.5),0),"")</f>
        <v>33653</v>
      </c>
      <c r="K257" s="35" t="s">
        <v>259</v>
      </c>
      <c r="L257" s="35" t="s">
        <v>256</v>
      </c>
      <c r="M257" s="35" t="s">
        <v>302</v>
      </c>
      <c r="N257" s="33" t="n">
        <v>40</v>
      </c>
      <c r="O257" s="35" t="s">
        <v>276</v>
      </c>
      <c r="P257" s="45" t="n">
        <v>26723</v>
      </c>
      <c r="Q257" s="38" t="n">
        <v>0.07</v>
      </c>
      <c r="R257" s="35" t="s">
        <v>258</v>
      </c>
      <c r="S257" s="45" t="n">
        <v>170</v>
      </c>
      <c r="T257" s="35" t="s">
        <v>259</v>
      </c>
      <c r="U257" s="33" t="n">
        <v>1</v>
      </c>
      <c r="V257" s="35" t="s">
        <v>259</v>
      </c>
      <c r="W257" s="33" t="n">
        <v>20</v>
      </c>
      <c r="X257" s="35" t="s">
        <v>259</v>
      </c>
      <c r="Y257" s="35" t="s">
        <v>255</v>
      </c>
      <c r="Z257" s="35" t="s">
        <v>259</v>
      </c>
      <c r="AA257" s="35" t="s">
        <v>259</v>
      </c>
      <c r="AB257" s="35" t="s">
        <v>255</v>
      </c>
      <c r="AC257" s="35" t="s">
        <v>259</v>
      </c>
      <c r="AD257" s="35" t="s">
        <v>259</v>
      </c>
      <c r="AE257" s="35" t="s">
        <v>259</v>
      </c>
      <c r="AF257" s="35" t="s">
        <v>259</v>
      </c>
      <c r="AG257" s="35" t="s">
        <v>259</v>
      </c>
      <c r="AH257" s="35" t="s">
        <v>259</v>
      </c>
      <c r="AI257" s="35" t="s">
        <v>259</v>
      </c>
      <c r="AJ257" s="35" t="s">
        <v>259</v>
      </c>
      <c r="AK257" s="8" t="s">
        <v>261</v>
      </c>
      <c r="AL257" s="8" t="s">
        <v>261</v>
      </c>
      <c r="AM257" s="8" t="s">
        <v>278</v>
      </c>
      <c r="AN257" s="8" t="s">
        <v>533</v>
      </c>
      <c r="AO257" s="8" t="s">
        <v>506</v>
      </c>
      <c r="AP257" s="35" t="s">
        <v>272</v>
      </c>
      <c r="AQ257" s="39" t="n">
        <v>52.6</v>
      </c>
      <c r="AR257" s="39" t="n">
        <v>4.5</v>
      </c>
      <c r="AS257" s="33" t="n">
        <v>41</v>
      </c>
      <c r="AT257" s="45"/>
      <c r="AU257" s="45" t="n">
        <v>444.16</v>
      </c>
      <c r="AV257" s="45" t="n">
        <v>314</v>
      </c>
      <c r="AW257" s="39" t="n">
        <v>78.3</v>
      </c>
      <c r="AX257" s="39" t="n">
        <v>67</v>
      </c>
      <c r="AY257" s="39" t="n">
        <v>0</v>
      </c>
      <c r="AZ257" s="39" t="n">
        <v>12</v>
      </c>
      <c r="BA257" s="39" t="n">
        <v>0</v>
      </c>
      <c r="BB257" s="39" t="n">
        <v>29.9</v>
      </c>
      <c r="BC257" s="8" t="s">
        <v>891</v>
      </c>
      <c r="BD257" s="47" t="s">
        <v>451</v>
      </c>
      <c r="BE257" s="41" t="s">
        <v>892</v>
      </c>
    </row>
    <row r="258" customFormat="false" ht="15" hidden="false" customHeight="false" outlineLevel="0" collapsed="false">
      <c r="A258" s="33" t="n">
        <f aca="false">RANK(B258,$B$5:$B$266)</f>
        <v>254</v>
      </c>
      <c r="B258" s="34" t="n">
        <f aca="false">ROUND((AW258*'Scoring Weights'!$B$5+AX258*'Scoring Weights'!$B$6+AY258*'Scoring Weights'!$B$7+BA258*'Scoring Weights'!$B$8+AZ258*'Scoring Weights'!$B$9+BB258*'Scoring Weights'!$B$10)/MAX('Scoring Weights'!$B$11,1),1)</f>
        <v>37.9</v>
      </c>
      <c r="C258" s="35" t="str">
        <f aca="false">IF(AND(H258&lt;='Search Criteria'!$B$5,D258&gt;='Search Criteria'!$B$6,AQ258&lt;='Search Criteria'!$B$7,I258&lt;=INDEX('Search Criteria'!$B$18:$B$20,MATCH(E258,'Search Criteria'!$A$18:$A$20,0)),OR(NOT('Search Criteria'!$B$8),L258&lt;&gt;"FWD"),OR(NOT('Search Criteria'!$B$9),T258="Yes"),OR(NOT('Search Criteria'!$B$10),W258&gt;0),OR(NOT('Search Criteria'!$B$11),X258="Yes"),OR(NOT('Search Criteria'!$B$12),O258="GREAT",O258="GOOD"),OR(NOT('Search Criteria'!$B$13),K258="Yes")),"YES","no")</f>
        <v>no</v>
      </c>
      <c r="D258" s="33" t="n">
        <v>2023</v>
      </c>
      <c r="E258" s="8" t="s">
        <v>95</v>
      </c>
      <c r="F258" s="8" t="s">
        <v>234</v>
      </c>
      <c r="G258" s="8" t="s">
        <v>325</v>
      </c>
      <c r="H258" s="45" t="n">
        <v>25377</v>
      </c>
      <c r="I258" s="46" t="n">
        <v>66521</v>
      </c>
      <c r="J258" s="37" t="n">
        <f aca="false">IFERROR(ROUND(I258/MAX(2026-D258,0.5),0),"")</f>
        <v>22174</v>
      </c>
      <c r="K258" s="35" t="s">
        <v>259</v>
      </c>
      <c r="L258" s="35" t="s">
        <v>256</v>
      </c>
      <c r="M258" s="35" t="s">
        <v>257</v>
      </c>
      <c r="N258" s="33" t="n">
        <v>28</v>
      </c>
      <c r="O258" s="35" t="s">
        <v>276</v>
      </c>
      <c r="P258" s="45" t="n">
        <v>24014</v>
      </c>
      <c r="Q258" s="38" t="n">
        <v>-0.057</v>
      </c>
      <c r="R258" s="35" t="s">
        <v>277</v>
      </c>
      <c r="S258" s="45"/>
      <c r="T258" s="35" t="s">
        <v>255</v>
      </c>
      <c r="U258" s="33" t="n">
        <v>1</v>
      </c>
      <c r="V258" s="35" t="s">
        <v>255</v>
      </c>
      <c r="W258" s="33" t="n">
        <v>4</v>
      </c>
      <c r="X258" s="35" t="s">
        <v>255</v>
      </c>
      <c r="Y258" s="35" t="s">
        <v>255</v>
      </c>
      <c r="Z258" s="35" t="s">
        <v>259</v>
      </c>
      <c r="AA258" s="35" t="s">
        <v>259</v>
      </c>
      <c r="AB258" s="35" t="s">
        <v>255</v>
      </c>
      <c r="AC258" s="35" t="s">
        <v>255</v>
      </c>
      <c r="AD258" s="35" t="s">
        <v>255</v>
      </c>
      <c r="AE258" s="35" t="s">
        <v>259</v>
      </c>
      <c r="AF258" s="35" t="s">
        <v>255</v>
      </c>
      <c r="AG258" s="35" t="s">
        <v>259</v>
      </c>
      <c r="AH258" s="35" t="s">
        <v>259</v>
      </c>
      <c r="AI258" s="35" t="s">
        <v>255</v>
      </c>
      <c r="AJ258" s="35" t="s">
        <v>259</v>
      </c>
      <c r="AK258" s="8" t="s">
        <v>260</v>
      </c>
      <c r="AL258" s="8" t="s">
        <v>260</v>
      </c>
      <c r="AM258" s="8" t="s">
        <v>278</v>
      </c>
      <c r="AN258" s="8" t="s">
        <v>893</v>
      </c>
      <c r="AO258" s="8" t="s">
        <v>894</v>
      </c>
      <c r="AP258" s="35" t="s">
        <v>895</v>
      </c>
      <c r="AQ258" s="39" t="n">
        <v>72.2</v>
      </c>
      <c r="AR258" s="39" t="n">
        <v>4.4</v>
      </c>
      <c r="AS258" s="33" t="n">
        <v>11</v>
      </c>
      <c r="AT258" s="45"/>
      <c r="AU258" s="45" t="n">
        <v>453.32</v>
      </c>
      <c r="AV258" s="45" t="n">
        <v>398</v>
      </c>
      <c r="AW258" s="39" t="n">
        <v>78.5</v>
      </c>
      <c r="AX258" s="39" t="n">
        <v>48.1</v>
      </c>
      <c r="AY258" s="39" t="n">
        <v>0</v>
      </c>
      <c r="AZ258" s="39" t="n">
        <v>48</v>
      </c>
      <c r="BA258" s="39" t="n">
        <v>0</v>
      </c>
      <c r="BB258" s="39" t="n">
        <v>3.7</v>
      </c>
      <c r="BC258" s="8" t="s">
        <v>896</v>
      </c>
      <c r="BD258" s="47" t="s">
        <v>632</v>
      </c>
      <c r="BE258" s="41" t="s">
        <v>897</v>
      </c>
    </row>
    <row r="259" customFormat="false" ht="15" hidden="false" customHeight="false" outlineLevel="0" collapsed="false">
      <c r="A259" s="33" t="n">
        <f aca="false">RANK(B259,$B$5:$B$266)</f>
        <v>255</v>
      </c>
      <c r="B259" s="34" t="n">
        <f aca="false">ROUND((AW259*'Scoring Weights'!$B$5+AX259*'Scoring Weights'!$B$6+AY259*'Scoring Weights'!$B$7+BA259*'Scoring Weights'!$B$8+AZ259*'Scoring Weights'!$B$9+BB259*'Scoring Weights'!$B$10)/MAX('Scoring Weights'!$B$11,1),1)</f>
        <v>37.1</v>
      </c>
      <c r="C259" s="35" t="str">
        <f aca="false">IF(AND(H259&lt;='Search Criteria'!$B$5,D259&gt;='Search Criteria'!$B$6,AQ259&lt;='Search Criteria'!$B$7,I259&lt;=INDEX('Search Criteria'!$B$18:$B$20,MATCH(E259,'Search Criteria'!$A$18:$A$20,0)),OR(NOT('Search Criteria'!$B$8),L259&lt;&gt;"FWD"),OR(NOT('Search Criteria'!$B$9),T259="Yes"),OR(NOT('Search Criteria'!$B$10),W259&gt;0),OR(NOT('Search Criteria'!$B$11),X259="Yes"),OR(NOT('Search Criteria'!$B$12),O259="GREAT",O259="GOOD"),OR(NOT('Search Criteria'!$B$13),K259="Yes")),"YES","no")</f>
        <v>no</v>
      </c>
      <c r="D259" s="33" t="n">
        <v>2025</v>
      </c>
      <c r="E259" s="8" t="s">
        <v>92</v>
      </c>
      <c r="F259" s="8" t="s">
        <v>236</v>
      </c>
      <c r="G259" s="8" t="s">
        <v>296</v>
      </c>
      <c r="H259" s="45" t="n">
        <v>36814</v>
      </c>
      <c r="I259" s="46" t="n">
        <v>44971</v>
      </c>
      <c r="J259" s="37" t="n">
        <f aca="false">IFERROR(ROUND(I259/MAX(2026-D259,0.5),0),"")</f>
        <v>44971</v>
      </c>
      <c r="K259" s="35" t="s">
        <v>259</v>
      </c>
      <c r="L259" s="35" t="s">
        <v>256</v>
      </c>
      <c r="M259" s="35" t="s">
        <v>302</v>
      </c>
      <c r="N259" s="33" t="n">
        <v>39</v>
      </c>
      <c r="O259" s="35" t="s">
        <v>276</v>
      </c>
      <c r="P259" s="45" t="n">
        <v>33581</v>
      </c>
      <c r="Q259" s="38" t="n">
        <v>-0.096</v>
      </c>
      <c r="R259" s="35" t="s">
        <v>286</v>
      </c>
      <c r="S259" s="45" t="n">
        <v>490</v>
      </c>
      <c r="T259" s="35" t="s">
        <v>255</v>
      </c>
      <c r="U259" s="33" t="n">
        <v>1</v>
      </c>
      <c r="V259" s="35" t="s">
        <v>259</v>
      </c>
      <c r="W259" s="33" t="n">
        <v>0</v>
      </c>
      <c r="X259" s="35" t="s">
        <v>259</v>
      </c>
      <c r="Y259" s="35" t="s">
        <v>255</v>
      </c>
      <c r="Z259" s="35" t="s">
        <v>259</v>
      </c>
      <c r="AA259" s="35" t="s">
        <v>259</v>
      </c>
      <c r="AB259" s="35" t="s">
        <v>255</v>
      </c>
      <c r="AC259" s="35" t="s">
        <v>259</v>
      </c>
      <c r="AD259" s="35" t="s">
        <v>259</v>
      </c>
      <c r="AE259" s="35" t="s">
        <v>259</v>
      </c>
      <c r="AF259" s="35" t="s">
        <v>259</v>
      </c>
      <c r="AG259" s="35" t="s">
        <v>259</v>
      </c>
      <c r="AH259" s="35" t="s">
        <v>259</v>
      </c>
      <c r="AI259" s="35" t="s">
        <v>255</v>
      </c>
      <c r="AJ259" s="35" t="s">
        <v>259</v>
      </c>
      <c r="AK259" s="8" t="s">
        <v>269</v>
      </c>
      <c r="AL259" s="8" t="s">
        <v>261</v>
      </c>
      <c r="AM259" s="8" t="s">
        <v>278</v>
      </c>
      <c r="AN259" s="8" t="s">
        <v>315</v>
      </c>
      <c r="AO259" s="8" t="s">
        <v>294</v>
      </c>
      <c r="AP259" s="35" t="s">
        <v>272</v>
      </c>
      <c r="AQ259" s="39" t="n">
        <v>41.6</v>
      </c>
      <c r="AR259" s="39" t="n">
        <v>4.6</v>
      </c>
      <c r="AS259" s="33" t="n">
        <v>9</v>
      </c>
      <c r="AT259" s="45"/>
      <c r="AU259" s="45" t="n">
        <v>657.63</v>
      </c>
      <c r="AV259" s="45" t="n">
        <v>314</v>
      </c>
      <c r="AW259" s="39" t="n">
        <v>63.3</v>
      </c>
      <c r="AX259" s="39" t="n">
        <v>42.2</v>
      </c>
      <c r="AY259" s="39" t="n">
        <v>38.5</v>
      </c>
      <c r="AZ259" s="39" t="n">
        <v>16</v>
      </c>
      <c r="BA259" s="39" t="n">
        <v>0</v>
      </c>
      <c r="BB259" s="39" t="n">
        <v>44.5</v>
      </c>
      <c r="BC259" s="8" t="s">
        <v>898</v>
      </c>
      <c r="BD259" s="47" t="s">
        <v>290</v>
      </c>
      <c r="BE259" s="41" t="s">
        <v>899</v>
      </c>
    </row>
    <row r="260" customFormat="false" ht="15" hidden="false" customHeight="false" outlineLevel="0" collapsed="false">
      <c r="A260" s="33" t="n">
        <f aca="false">RANK(B260,$B$5:$B$266)</f>
        <v>256</v>
      </c>
      <c r="B260" s="34" t="n">
        <f aca="false">ROUND((AW260*'Scoring Weights'!$B$5+AX260*'Scoring Weights'!$B$6+AY260*'Scoring Weights'!$B$7+BA260*'Scoring Weights'!$B$8+AZ260*'Scoring Weights'!$B$9+BB260*'Scoring Weights'!$B$10)/MAX('Scoring Weights'!$B$11,1),1)</f>
        <v>36.2</v>
      </c>
      <c r="C260" s="35" t="str">
        <f aca="false">IF(AND(H260&lt;='Search Criteria'!$B$5,D260&gt;='Search Criteria'!$B$6,AQ260&lt;='Search Criteria'!$B$7,I260&lt;=INDEX('Search Criteria'!$B$18:$B$20,MATCH(E260,'Search Criteria'!$A$18:$A$20,0)),OR(NOT('Search Criteria'!$B$8),L260&lt;&gt;"FWD"),OR(NOT('Search Criteria'!$B$9),T260="Yes"),OR(NOT('Search Criteria'!$B$10),W260&gt;0),OR(NOT('Search Criteria'!$B$11),X260="Yes"),OR(NOT('Search Criteria'!$B$12),O260="GREAT",O260="GOOD"),OR(NOT('Search Criteria'!$B$13),K260="Yes")),"YES","no")</f>
        <v>no</v>
      </c>
      <c r="D260" s="33" t="n">
        <v>2024</v>
      </c>
      <c r="E260" s="8" t="s">
        <v>94</v>
      </c>
      <c r="F260" s="8" t="s">
        <v>233</v>
      </c>
      <c r="G260" s="8" t="s">
        <v>301</v>
      </c>
      <c r="H260" s="45" t="n">
        <v>25007</v>
      </c>
      <c r="I260" s="46" t="n">
        <v>90951</v>
      </c>
      <c r="J260" s="37" t="n">
        <f aca="false">IFERROR(ROUND(I260/MAX(2026-D260,0.5),0),"")</f>
        <v>45476</v>
      </c>
      <c r="K260" s="35" t="s">
        <v>259</v>
      </c>
      <c r="L260" s="35" t="s">
        <v>256</v>
      </c>
      <c r="M260" s="35" t="s">
        <v>257</v>
      </c>
      <c r="N260" s="33" t="n">
        <v>27</v>
      </c>
      <c r="O260" s="35" t="s">
        <v>276</v>
      </c>
      <c r="P260" s="45" t="n">
        <v>22765</v>
      </c>
      <c r="Q260" s="38" t="n">
        <v>-0.098</v>
      </c>
      <c r="R260" s="35" t="s">
        <v>258</v>
      </c>
      <c r="S260" s="45" t="n">
        <v>500</v>
      </c>
      <c r="T260" s="35" t="s">
        <v>259</v>
      </c>
      <c r="U260" s="33" t="n">
        <v>1</v>
      </c>
      <c r="V260" s="35" t="s">
        <v>255</v>
      </c>
      <c r="W260" s="33" t="n">
        <v>11</v>
      </c>
      <c r="X260" s="35" t="s">
        <v>255</v>
      </c>
      <c r="Y260" s="35" t="s">
        <v>255</v>
      </c>
      <c r="Z260" s="35" t="s">
        <v>259</v>
      </c>
      <c r="AA260" s="35" t="s">
        <v>259</v>
      </c>
      <c r="AB260" s="35" t="s">
        <v>255</v>
      </c>
      <c r="AC260" s="35" t="s">
        <v>259</v>
      </c>
      <c r="AD260" s="35" t="s">
        <v>255</v>
      </c>
      <c r="AE260" s="35" t="s">
        <v>259</v>
      </c>
      <c r="AF260" s="35" t="s">
        <v>259</v>
      </c>
      <c r="AG260" s="35" t="s">
        <v>259</v>
      </c>
      <c r="AH260" s="35" t="s">
        <v>259</v>
      </c>
      <c r="AI260" s="35" t="s">
        <v>259</v>
      </c>
      <c r="AJ260" s="35" t="s">
        <v>259</v>
      </c>
      <c r="AK260" s="8" t="s">
        <v>261</v>
      </c>
      <c r="AL260" s="8" t="s">
        <v>261</v>
      </c>
      <c r="AM260" s="8" t="s">
        <v>303</v>
      </c>
      <c r="AN260" s="8" t="s">
        <v>315</v>
      </c>
      <c r="AO260" s="8" t="s">
        <v>294</v>
      </c>
      <c r="AP260" s="35" t="s">
        <v>272</v>
      </c>
      <c r="AQ260" s="39" t="n">
        <v>41.6</v>
      </c>
      <c r="AR260" s="39" t="n">
        <v>4.6</v>
      </c>
      <c r="AS260" s="33" t="n">
        <v>10</v>
      </c>
      <c r="AT260" s="45" t="n">
        <v>-7</v>
      </c>
      <c r="AU260" s="45" t="n">
        <v>446.71</v>
      </c>
      <c r="AV260" s="45" t="n">
        <v>314</v>
      </c>
      <c r="AW260" s="39" t="n">
        <v>82.2</v>
      </c>
      <c r="AX260" s="39" t="n">
        <v>41.8</v>
      </c>
      <c r="AY260" s="39" t="n">
        <v>0</v>
      </c>
      <c r="AZ260" s="39" t="n">
        <v>24</v>
      </c>
      <c r="BA260" s="39" t="n">
        <v>0</v>
      </c>
      <c r="BB260" s="39" t="n">
        <v>44.5</v>
      </c>
      <c r="BC260" s="8" t="s">
        <v>900</v>
      </c>
      <c r="BD260" s="47" t="s">
        <v>323</v>
      </c>
      <c r="BE260" s="41" t="s">
        <v>901</v>
      </c>
    </row>
    <row r="261" customFormat="false" ht="15" hidden="false" customHeight="false" outlineLevel="0" collapsed="false">
      <c r="A261" s="33" t="n">
        <f aca="false">RANK(B261,$B$5:$B$266)</f>
        <v>257</v>
      </c>
      <c r="B261" s="34" t="n">
        <f aca="false">ROUND((AW261*'Scoring Weights'!$B$5+AX261*'Scoring Weights'!$B$6+AY261*'Scoring Weights'!$B$7+BA261*'Scoring Weights'!$B$8+AZ261*'Scoring Weights'!$B$9+BB261*'Scoring Weights'!$B$10)/MAX('Scoring Weights'!$B$11,1),1)</f>
        <v>36.1</v>
      </c>
      <c r="C261" s="35" t="str">
        <f aca="false">IF(AND(H261&lt;='Search Criteria'!$B$5,D261&gt;='Search Criteria'!$B$6,AQ261&lt;='Search Criteria'!$B$7,I261&lt;=INDEX('Search Criteria'!$B$18:$B$20,MATCH(E261,'Search Criteria'!$A$18:$A$20,0)),OR(NOT('Search Criteria'!$B$8),L261&lt;&gt;"FWD"),OR(NOT('Search Criteria'!$B$9),T261="Yes"),OR(NOT('Search Criteria'!$B$10),W261&gt;0),OR(NOT('Search Criteria'!$B$11),X261="Yes"),OR(NOT('Search Criteria'!$B$12),O261="GREAT",O261="GOOD"),OR(NOT('Search Criteria'!$B$13),K261="Yes")),"YES","no")</f>
        <v>no</v>
      </c>
      <c r="D261" s="33" t="n">
        <v>2024</v>
      </c>
      <c r="E261" s="8" t="s">
        <v>95</v>
      </c>
      <c r="F261" s="8" t="s">
        <v>234</v>
      </c>
      <c r="G261" s="8" t="s">
        <v>407</v>
      </c>
      <c r="H261" s="45" t="n">
        <v>27568</v>
      </c>
      <c r="I261" s="46" t="n">
        <v>42978</v>
      </c>
      <c r="J261" s="37" t="n">
        <f aca="false">IFERROR(ROUND(I261/MAX(2026-D261,0.5),0),"")</f>
        <v>21489</v>
      </c>
      <c r="K261" s="35" t="s">
        <v>259</v>
      </c>
      <c r="L261" s="35" t="s">
        <v>256</v>
      </c>
      <c r="M261" s="35" t="s">
        <v>257</v>
      </c>
      <c r="N261" s="33" t="n">
        <v>28</v>
      </c>
      <c r="O261" s="35" t="s">
        <v>276</v>
      </c>
      <c r="P261" s="45" t="n">
        <v>28179</v>
      </c>
      <c r="Q261" s="38" t="n">
        <v>0.022</v>
      </c>
      <c r="R261" s="35" t="s">
        <v>286</v>
      </c>
      <c r="S261" s="45" t="n">
        <v>340</v>
      </c>
      <c r="T261" s="35" t="s">
        <v>255</v>
      </c>
      <c r="U261" s="33" t="n">
        <v>1</v>
      </c>
      <c r="V261" s="35" t="s">
        <v>259</v>
      </c>
      <c r="W261" s="33" t="n">
        <v>1</v>
      </c>
      <c r="X261" s="35" t="s">
        <v>255</v>
      </c>
      <c r="Y261" s="35" t="s">
        <v>255</v>
      </c>
      <c r="Z261" s="35" t="s">
        <v>259</v>
      </c>
      <c r="AA261" s="35" t="s">
        <v>259</v>
      </c>
      <c r="AB261" s="35" t="s">
        <v>259</v>
      </c>
      <c r="AC261" s="35" t="s">
        <v>259</v>
      </c>
      <c r="AD261" s="35" t="s">
        <v>255</v>
      </c>
      <c r="AE261" s="35" t="s">
        <v>259</v>
      </c>
      <c r="AF261" s="35" t="s">
        <v>259</v>
      </c>
      <c r="AG261" s="35" t="s">
        <v>259</v>
      </c>
      <c r="AH261" s="35" t="s">
        <v>259</v>
      </c>
      <c r="AI261" s="35" t="s">
        <v>255</v>
      </c>
      <c r="AJ261" s="35" t="s">
        <v>259</v>
      </c>
      <c r="AK261" s="8" t="s">
        <v>292</v>
      </c>
      <c r="AL261" s="8" t="s">
        <v>260</v>
      </c>
      <c r="AM261" s="8" t="s">
        <v>278</v>
      </c>
      <c r="AN261" s="8" t="s">
        <v>384</v>
      </c>
      <c r="AO261" s="8" t="s">
        <v>340</v>
      </c>
      <c r="AP261" s="35" t="s">
        <v>265</v>
      </c>
      <c r="AQ261" s="39" t="n">
        <v>59.8</v>
      </c>
      <c r="AR261" s="39" t="n">
        <v>4.8</v>
      </c>
      <c r="AS261" s="33" t="n">
        <v>2</v>
      </c>
      <c r="AT261" s="45"/>
      <c r="AU261" s="45" t="n">
        <v>492.46</v>
      </c>
      <c r="AV261" s="45" t="n">
        <v>268</v>
      </c>
      <c r="AW261" s="39" t="n">
        <v>68.7</v>
      </c>
      <c r="AX261" s="39" t="n">
        <v>59.9</v>
      </c>
      <c r="AY261" s="39" t="n">
        <v>9.8</v>
      </c>
      <c r="AZ261" s="39" t="n">
        <v>16</v>
      </c>
      <c r="BA261" s="39" t="n">
        <v>0</v>
      </c>
      <c r="BB261" s="39" t="n">
        <v>20.3</v>
      </c>
      <c r="BC261" s="8" t="s">
        <v>902</v>
      </c>
      <c r="BD261" s="47" t="s">
        <v>423</v>
      </c>
      <c r="BE261" s="41" t="s">
        <v>903</v>
      </c>
    </row>
    <row r="262" customFormat="false" ht="15" hidden="false" customHeight="false" outlineLevel="0" collapsed="false">
      <c r="A262" s="33" t="n">
        <f aca="false">RANK(B262,$B$5:$B$266)</f>
        <v>258</v>
      </c>
      <c r="B262" s="34" t="n">
        <f aca="false">ROUND((AW262*'Scoring Weights'!$B$5+AX262*'Scoring Weights'!$B$6+AY262*'Scoring Weights'!$B$7+BA262*'Scoring Weights'!$B$8+AZ262*'Scoring Weights'!$B$9+BB262*'Scoring Weights'!$B$10)/MAX('Scoring Weights'!$B$11,1),1)</f>
        <v>35.4</v>
      </c>
      <c r="C262" s="35" t="str">
        <f aca="false">IF(AND(H262&lt;='Search Criteria'!$B$5,D262&gt;='Search Criteria'!$B$6,AQ262&lt;='Search Criteria'!$B$7,I262&lt;=INDEX('Search Criteria'!$B$18:$B$20,MATCH(E262,'Search Criteria'!$A$18:$A$20,0)),OR(NOT('Search Criteria'!$B$8),L262&lt;&gt;"FWD"),OR(NOT('Search Criteria'!$B$9),T262="Yes"),OR(NOT('Search Criteria'!$B$10),W262&gt;0),OR(NOT('Search Criteria'!$B$11),X262="Yes"),OR(NOT('Search Criteria'!$B$12),O262="GREAT",O262="GOOD"),OR(NOT('Search Criteria'!$B$13),K262="Yes")),"YES","no")</f>
        <v>no</v>
      </c>
      <c r="D262" s="33" t="n">
        <v>2022</v>
      </c>
      <c r="E262" s="8" t="s">
        <v>92</v>
      </c>
      <c r="F262" s="8" t="s">
        <v>236</v>
      </c>
      <c r="G262" s="8" t="s">
        <v>338</v>
      </c>
      <c r="H262" s="45" t="n">
        <v>24642</v>
      </c>
      <c r="I262" s="46" t="n">
        <v>106328</v>
      </c>
      <c r="J262" s="37" t="n">
        <f aca="false">IFERROR(ROUND(I262/MAX(2026-D262,0.5),0),"")</f>
        <v>26582</v>
      </c>
      <c r="K262" s="35" t="s">
        <v>259</v>
      </c>
      <c r="L262" s="35" t="s">
        <v>256</v>
      </c>
      <c r="M262" s="35" t="s">
        <v>257</v>
      </c>
      <c r="N262" s="33" t="n">
        <v>30</v>
      </c>
      <c r="O262" s="35" t="s">
        <v>276</v>
      </c>
      <c r="P262" s="45" t="n">
        <v>25100</v>
      </c>
      <c r="Q262" s="38" t="n">
        <v>0.018</v>
      </c>
      <c r="R262" s="35" t="s">
        <v>258</v>
      </c>
      <c r="S262" s="45" t="n">
        <v>450</v>
      </c>
      <c r="T262" s="35" t="s">
        <v>259</v>
      </c>
      <c r="U262" s="33" t="n">
        <v>1</v>
      </c>
      <c r="V262" s="35" t="s">
        <v>259</v>
      </c>
      <c r="W262" s="33" t="n">
        <v>26</v>
      </c>
      <c r="X262" s="35" t="s">
        <v>259</v>
      </c>
      <c r="Y262" s="35" t="s">
        <v>255</v>
      </c>
      <c r="Z262" s="35" t="s">
        <v>259</v>
      </c>
      <c r="AA262" s="35" t="s">
        <v>259</v>
      </c>
      <c r="AB262" s="35" t="s">
        <v>255</v>
      </c>
      <c r="AC262" s="35" t="s">
        <v>259</v>
      </c>
      <c r="AD262" s="35" t="s">
        <v>259</v>
      </c>
      <c r="AE262" s="35" t="s">
        <v>259</v>
      </c>
      <c r="AF262" s="35" t="s">
        <v>259</v>
      </c>
      <c r="AG262" s="35" t="s">
        <v>259</v>
      </c>
      <c r="AH262" s="35" t="s">
        <v>259</v>
      </c>
      <c r="AI262" s="35" t="s">
        <v>259</v>
      </c>
      <c r="AJ262" s="35" t="s">
        <v>259</v>
      </c>
      <c r="AK262" s="8" t="s">
        <v>292</v>
      </c>
      <c r="AL262" s="8" t="s">
        <v>261</v>
      </c>
      <c r="AM262" s="8" t="s">
        <v>278</v>
      </c>
      <c r="AN262" s="8" t="s">
        <v>904</v>
      </c>
      <c r="AO262" s="8" t="s">
        <v>340</v>
      </c>
      <c r="AP262" s="35" t="s">
        <v>265</v>
      </c>
      <c r="AQ262" s="39" t="n">
        <v>63.4</v>
      </c>
      <c r="AR262" s="39" t="n">
        <v>4.4</v>
      </c>
      <c r="AS262" s="33" t="n">
        <v>51</v>
      </c>
      <c r="AT262" s="45" t="n">
        <v>13</v>
      </c>
      <c r="AU262" s="45" t="n">
        <v>440.19</v>
      </c>
      <c r="AV262" s="45" t="n">
        <v>261</v>
      </c>
      <c r="AW262" s="39" t="n">
        <v>76.6</v>
      </c>
      <c r="AX262" s="39" t="n">
        <v>59.3</v>
      </c>
      <c r="AY262" s="39" t="n">
        <v>0</v>
      </c>
      <c r="AZ262" s="39" t="n">
        <v>12</v>
      </c>
      <c r="BA262" s="39" t="n">
        <v>0</v>
      </c>
      <c r="BB262" s="39" t="n">
        <v>15.4</v>
      </c>
      <c r="BC262" s="8" t="s">
        <v>905</v>
      </c>
      <c r="BD262" s="47" t="s">
        <v>365</v>
      </c>
      <c r="BE262" s="41" t="s">
        <v>906</v>
      </c>
    </row>
    <row r="263" customFormat="false" ht="15" hidden="false" customHeight="false" outlineLevel="0" collapsed="false">
      <c r="A263" s="33" t="n">
        <f aca="false">RANK(B263,$B$5:$B$266)</f>
        <v>259</v>
      </c>
      <c r="B263" s="34" t="n">
        <f aca="false">ROUND((AW263*'Scoring Weights'!$B$5+AX263*'Scoring Weights'!$B$6+AY263*'Scoring Weights'!$B$7+BA263*'Scoring Weights'!$B$8+AZ263*'Scoring Weights'!$B$9+BB263*'Scoring Weights'!$B$10)/MAX('Scoring Weights'!$B$11,1),1)</f>
        <v>35.2</v>
      </c>
      <c r="C263" s="35" t="str">
        <f aca="false">IF(AND(H263&lt;='Search Criteria'!$B$5,D263&gt;='Search Criteria'!$B$6,AQ263&lt;='Search Criteria'!$B$7,I263&lt;=INDEX('Search Criteria'!$B$18:$B$20,MATCH(E263,'Search Criteria'!$A$18:$A$20,0)),OR(NOT('Search Criteria'!$B$8),L263&lt;&gt;"FWD"),OR(NOT('Search Criteria'!$B$9),T263="Yes"),OR(NOT('Search Criteria'!$B$10),W263&gt;0),OR(NOT('Search Criteria'!$B$11),X263="Yes"),OR(NOT('Search Criteria'!$B$12),O263="GREAT",O263="GOOD"),OR(NOT('Search Criteria'!$B$13),K263="Yes")),"YES","no")</f>
        <v>no</v>
      </c>
      <c r="D263" s="33" t="n">
        <v>2024</v>
      </c>
      <c r="E263" s="8" t="s">
        <v>92</v>
      </c>
      <c r="F263" s="8" t="s">
        <v>236</v>
      </c>
      <c r="G263" s="8" t="s">
        <v>296</v>
      </c>
      <c r="H263" s="45" t="n">
        <v>27304</v>
      </c>
      <c r="I263" s="46" t="n">
        <v>102173</v>
      </c>
      <c r="J263" s="37" t="n">
        <f aca="false">IFERROR(ROUND(I263/MAX(2026-D263,0.5),0),"")</f>
        <v>51087</v>
      </c>
      <c r="K263" s="35" t="s">
        <v>259</v>
      </c>
      <c r="L263" s="35" t="s">
        <v>256</v>
      </c>
      <c r="M263" s="35" t="s">
        <v>302</v>
      </c>
      <c r="N263" s="33" t="n">
        <v>39</v>
      </c>
      <c r="O263" s="35" t="s">
        <v>297</v>
      </c>
      <c r="P263" s="45" t="n">
        <v>27821</v>
      </c>
      <c r="Q263" s="38" t="n">
        <v>0.019</v>
      </c>
      <c r="R263" s="35" t="s">
        <v>258</v>
      </c>
      <c r="S263" s="45" t="n">
        <v>440</v>
      </c>
      <c r="T263" s="35" t="s">
        <v>259</v>
      </c>
      <c r="U263" s="33" t="n">
        <v>1</v>
      </c>
      <c r="V263" s="35" t="s">
        <v>259</v>
      </c>
      <c r="W263" s="33" t="n">
        <v>11</v>
      </c>
      <c r="X263" s="35" t="s">
        <v>259</v>
      </c>
      <c r="Y263" s="35" t="s">
        <v>255</v>
      </c>
      <c r="Z263" s="35" t="s">
        <v>259</v>
      </c>
      <c r="AA263" s="35" t="s">
        <v>259</v>
      </c>
      <c r="AB263" s="35" t="s">
        <v>255</v>
      </c>
      <c r="AC263" s="35" t="s">
        <v>259</v>
      </c>
      <c r="AD263" s="35" t="s">
        <v>259</v>
      </c>
      <c r="AE263" s="35" t="s">
        <v>259</v>
      </c>
      <c r="AF263" s="35" t="s">
        <v>259</v>
      </c>
      <c r="AG263" s="35" t="s">
        <v>259</v>
      </c>
      <c r="AH263" s="35" t="s">
        <v>259</v>
      </c>
      <c r="AI263" s="35" t="s">
        <v>255</v>
      </c>
      <c r="AJ263" s="35" t="s">
        <v>259</v>
      </c>
      <c r="AK263" s="8" t="s">
        <v>358</v>
      </c>
      <c r="AL263" s="8" t="s">
        <v>260</v>
      </c>
      <c r="AM263" s="8" t="s">
        <v>278</v>
      </c>
      <c r="AN263" s="8" t="s">
        <v>533</v>
      </c>
      <c r="AO263" s="8" t="s">
        <v>506</v>
      </c>
      <c r="AP263" s="35" t="s">
        <v>272</v>
      </c>
      <c r="AQ263" s="39" t="n">
        <v>52.6</v>
      </c>
      <c r="AR263" s="39" t="n">
        <v>4.5</v>
      </c>
      <c r="AS263" s="33" t="n">
        <v>51</v>
      </c>
      <c r="AT263" s="45"/>
      <c r="AU263" s="45" t="n">
        <v>487.75</v>
      </c>
      <c r="AV263" s="45" t="n">
        <v>314</v>
      </c>
      <c r="AW263" s="39" t="n">
        <v>74.1</v>
      </c>
      <c r="AX263" s="39" t="n">
        <v>55.5</v>
      </c>
      <c r="AY263" s="39" t="n">
        <v>0</v>
      </c>
      <c r="AZ263" s="39" t="n">
        <v>16</v>
      </c>
      <c r="BA263" s="39" t="n">
        <v>0</v>
      </c>
      <c r="BB263" s="39" t="n">
        <v>29.9</v>
      </c>
      <c r="BC263" s="8" t="s">
        <v>907</v>
      </c>
      <c r="BD263" s="47" t="s">
        <v>346</v>
      </c>
      <c r="BE263" s="41" t="s">
        <v>908</v>
      </c>
    </row>
    <row r="264" customFormat="false" ht="15" hidden="false" customHeight="false" outlineLevel="0" collapsed="false">
      <c r="A264" s="33" t="n">
        <f aca="false">RANK(B264,$B$5:$B$266)</f>
        <v>260</v>
      </c>
      <c r="B264" s="34" t="n">
        <f aca="false">ROUND((AW264*'Scoring Weights'!$B$5+AX264*'Scoring Weights'!$B$6+AY264*'Scoring Weights'!$B$7+BA264*'Scoring Weights'!$B$8+AZ264*'Scoring Weights'!$B$9+BB264*'Scoring Weights'!$B$10)/MAX('Scoring Weights'!$B$11,1),1)</f>
        <v>35.1</v>
      </c>
      <c r="C264" s="35" t="str">
        <f aca="false">IF(AND(H264&lt;='Search Criteria'!$B$5,D264&gt;='Search Criteria'!$B$6,AQ264&lt;='Search Criteria'!$B$7,I264&lt;=INDEX('Search Criteria'!$B$18:$B$20,MATCH(E264,'Search Criteria'!$A$18:$A$20,0)),OR(NOT('Search Criteria'!$B$8),L264&lt;&gt;"FWD"),OR(NOT('Search Criteria'!$B$9),T264="Yes"),OR(NOT('Search Criteria'!$B$10),W264&gt;0),OR(NOT('Search Criteria'!$B$11),X264="Yes"),OR(NOT('Search Criteria'!$B$12),O264="GREAT",O264="GOOD"),OR(NOT('Search Criteria'!$B$13),K264="Yes")),"YES","no")</f>
        <v>no</v>
      </c>
      <c r="D264" s="33" t="n">
        <v>2024</v>
      </c>
      <c r="E264" s="8" t="s">
        <v>95</v>
      </c>
      <c r="F264" s="8" t="s">
        <v>234</v>
      </c>
      <c r="G264" s="8" t="s">
        <v>407</v>
      </c>
      <c r="H264" s="45" t="n">
        <v>26994</v>
      </c>
      <c r="I264" s="46" t="n">
        <v>52298</v>
      </c>
      <c r="J264" s="37" t="n">
        <f aca="false">IFERROR(ROUND(I264/MAX(2026-D264,0.5),0),"")</f>
        <v>26149</v>
      </c>
      <c r="K264" s="35" t="s">
        <v>259</v>
      </c>
      <c r="L264" s="35" t="s">
        <v>256</v>
      </c>
      <c r="M264" s="35" t="s">
        <v>257</v>
      </c>
      <c r="N264" s="33" t="n">
        <v>28</v>
      </c>
      <c r="O264" s="35" t="s">
        <v>276</v>
      </c>
      <c r="P264" s="45" t="n">
        <v>27190</v>
      </c>
      <c r="Q264" s="38" t="n">
        <v>0.007</v>
      </c>
      <c r="R264" s="35" t="s">
        <v>286</v>
      </c>
      <c r="S264" s="45" t="n">
        <v>380</v>
      </c>
      <c r="T264" s="35" t="s">
        <v>255</v>
      </c>
      <c r="U264" s="33" t="n">
        <v>2</v>
      </c>
      <c r="V264" s="35" t="s">
        <v>259</v>
      </c>
      <c r="W264" s="33" t="n">
        <v>8</v>
      </c>
      <c r="X264" s="35" t="s">
        <v>255</v>
      </c>
      <c r="Y264" s="35" t="s">
        <v>255</v>
      </c>
      <c r="Z264" s="35" t="s">
        <v>259</v>
      </c>
      <c r="AA264" s="35" t="s">
        <v>259</v>
      </c>
      <c r="AB264" s="35" t="s">
        <v>259</v>
      </c>
      <c r="AC264" s="35" t="s">
        <v>259</v>
      </c>
      <c r="AD264" s="35" t="s">
        <v>255</v>
      </c>
      <c r="AE264" s="35" t="s">
        <v>259</v>
      </c>
      <c r="AF264" s="35" t="s">
        <v>259</v>
      </c>
      <c r="AG264" s="35" t="s">
        <v>259</v>
      </c>
      <c r="AH264" s="35" t="s">
        <v>259</v>
      </c>
      <c r="AI264" s="35" t="s">
        <v>255</v>
      </c>
      <c r="AJ264" s="35" t="s">
        <v>259</v>
      </c>
      <c r="AK264" s="8" t="s">
        <v>292</v>
      </c>
      <c r="AL264" s="8" t="s">
        <v>260</v>
      </c>
      <c r="AM264" s="8" t="s">
        <v>278</v>
      </c>
      <c r="AN264" s="8" t="s">
        <v>315</v>
      </c>
      <c r="AO264" s="8" t="s">
        <v>294</v>
      </c>
      <c r="AP264" s="35" t="s">
        <v>272</v>
      </c>
      <c r="AQ264" s="39" t="n">
        <v>41.6</v>
      </c>
      <c r="AR264" s="39" t="n">
        <v>4.6</v>
      </c>
      <c r="AS264" s="33" t="n">
        <v>2</v>
      </c>
      <c r="AT264" s="45"/>
      <c r="AU264" s="45" t="n">
        <v>482.21</v>
      </c>
      <c r="AV264" s="45" t="n">
        <v>314</v>
      </c>
      <c r="AW264" s="39" t="n">
        <v>68.9</v>
      </c>
      <c r="AX264" s="39" t="n">
        <v>57.7</v>
      </c>
      <c r="AY264" s="39" t="n">
        <v>0</v>
      </c>
      <c r="AZ264" s="39" t="n">
        <v>16</v>
      </c>
      <c r="BA264" s="39" t="n">
        <v>0</v>
      </c>
      <c r="BB264" s="39" t="n">
        <v>44.5</v>
      </c>
      <c r="BC264" s="8" t="s">
        <v>909</v>
      </c>
      <c r="BD264" s="47" t="s">
        <v>423</v>
      </c>
      <c r="BE264" s="41" t="s">
        <v>910</v>
      </c>
    </row>
    <row r="265" customFormat="false" ht="15" hidden="false" customHeight="false" outlineLevel="0" collapsed="false">
      <c r="A265" s="33" t="n">
        <f aca="false">RANK(B265,$B$5:$B$266)</f>
        <v>261</v>
      </c>
      <c r="B265" s="34" t="n">
        <f aca="false">ROUND((AW265*'Scoring Weights'!$B$5+AX265*'Scoring Weights'!$B$6+AY265*'Scoring Weights'!$B$7+BA265*'Scoring Weights'!$B$8+AZ265*'Scoring Weights'!$B$9+BB265*'Scoring Weights'!$B$10)/MAX('Scoring Weights'!$B$11,1),1)</f>
        <v>35</v>
      </c>
      <c r="C265" s="35" t="str">
        <f aca="false">IF(AND(H265&lt;='Search Criteria'!$B$5,D265&gt;='Search Criteria'!$B$6,AQ265&lt;='Search Criteria'!$B$7,I265&lt;=INDEX('Search Criteria'!$B$18:$B$20,MATCH(E265,'Search Criteria'!$A$18:$A$20,0)),OR(NOT('Search Criteria'!$B$8),L265&lt;&gt;"FWD"),OR(NOT('Search Criteria'!$B$9),T265="Yes"),OR(NOT('Search Criteria'!$B$10),W265&gt;0),OR(NOT('Search Criteria'!$B$11),X265="Yes"),OR(NOT('Search Criteria'!$B$12),O265="GREAT",O265="GOOD"),OR(NOT('Search Criteria'!$B$13),K265="Yes")),"YES","no")</f>
        <v>no</v>
      </c>
      <c r="D265" s="33" t="n">
        <v>2022</v>
      </c>
      <c r="E265" s="8" t="s">
        <v>95</v>
      </c>
      <c r="F265" s="8" t="s">
        <v>234</v>
      </c>
      <c r="G265" s="8" t="s">
        <v>407</v>
      </c>
      <c r="H265" s="45" t="n">
        <v>22309</v>
      </c>
      <c r="I265" s="46" t="n">
        <v>79972</v>
      </c>
      <c r="J265" s="37" t="n">
        <f aca="false">IFERROR(ROUND(I265/MAX(2026-D265,0.5),0),"")</f>
        <v>19993</v>
      </c>
      <c r="K265" s="35" t="s">
        <v>259</v>
      </c>
      <c r="L265" s="35" t="s">
        <v>256</v>
      </c>
      <c r="M265" s="35" t="s">
        <v>257</v>
      </c>
      <c r="N265" s="33" t="n">
        <v>29</v>
      </c>
      <c r="O265" s="35" t="s">
        <v>276</v>
      </c>
      <c r="P265" s="45" t="n">
        <v>20921</v>
      </c>
      <c r="Q265" s="38" t="n">
        <v>-0.066</v>
      </c>
      <c r="R265" s="35" t="s">
        <v>258</v>
      </c>
      <c r="S265" s="45" t="n">
        <v>340</v>
      </c>
      <c r="T265" s="35" t="s">
        <v>259</v>
      </c>
      <c r="U265" s="33" t="n">
        <v>1</v>
      </c>
      <c r="V265" s="35" t="s">
        <v>259</v>
      </c>
      <c r="W265" s="33" t="n">
        <v>18</v>
      </c>
      <c r="X265" s="35" t="s">
        <v>255</v>
      </c>
      <c r="Y265" s="35" t="s">
        <v>255</v>
      </c>
      <c r="Z265" s="35" t="s">
        <v>259</v>
      </c>
      <c r="AA265" s="35" t="s">
        <v>259</v>
      </c>
      <c r="AB265" s="35" t="s">
        <v>259</v>
      </c>
      <c r="AC265" s="35" t="s">
        <v>259</v>
      </c>
      <c r="AD265" s="35" t="s">
        <v>255</v>
      </c>
      <c r="AE265" s="35" t="s">
        <v>259</v>
      </c>
      <c r="AF265" s="35" t="s">
        <v>259</v>
      </c>
      <c r="AG265" s="35" t="s">
        <v>259</v>
      </c>
      <c r="AH265" s="35" t="s">
        <v>259</v>
      </c>
      <c r="AI265" s="35" t="s">
        <v>255</v>
      </c>
      <c r="AJ265" s="35" t="s">
        <v>259</v>
      </c>
      <c r="AK265" s="8" t="s">
        <v>292</v>
      </c>
      <c r="AL265" s="8" t="s">
        <v>261</v>
      </c>
      <c r="AM265" s="8" t="s">
        <v>278</v>
      </c>
      <c r="AN265" s="8" t="s">
        <v>505</v>
      </c>
      <c r="AO265" s="8" t="s">
        <v>506</v>
      </c>
      <c r="AP265" s="35" t="s">
        <v>272</v>
      </c>
      <c r="AQ265" s="39" t="n">
        <v>52.7</v>
      </c>
      <c r="AR265" s="39" t="n">
        <v>4.8</v>
      </c>
      <c r="AS265" s="33" t="n">
        <v>51</v>
      </c>
      <c r="AT265" s="45"/>
      <c r="AU265" s="45" t="n">
        <v>398.52</v>
      </c>
      <c r="AV265" s="45" t="n">
        <v>314</v>
      </c>
      <c r="AW265" s="39" t="n">
        <v>80.8</v>
      </c>
      <c r="AX265" s="39" t="n">
        <v>46.6</v>
      </c>
      <c r="AY265" s="39" t="n">
        <v>0</v>
      </c>
      <c r="AZ265" s="39" t="n">
        <v>16</v>
      </c>
      <c r="BA265" s="39" t="n">
        <v>0</v>
      </c>
      <c r="BB265" s="39" t="n">
        <v>29.7</v>
      </c>
      <c r="BC265" s="8" t="s">
        <v>911</v>
      </c>
      <c r="BD265" s="47" t="s">
        <v>718</v>
      </c>
      <c r="BE265" s="41" t="s">
        <v>912</v>
      </c>
    </row>
    <row r="266" customFormat="false" ht="15" hidden="false" customHeight="false" outlineLevel="0" collapsed="false">
      <c r="A266" s="33" t="n">
        <f aca="false">RANK(B266,$B$5:$B$266)</f>
        <v>262</v>
      </c>
      <c r="B266" s="34" t="n">
        <f aca="false">ROUND((AW266*'Scoring Weights'!$B$5+AX266*'Scoring Weights'!$B$6+AY266*'Scoring Weights'!$B$7+BA266*'Scoring Weights'!$B$8+AZ266*'Scoring Weights'!$B$9+BB266*'Scoring Weights'!$B$10)/MAX('Scoring Weights'!$B$11,1),1)</f>
        <v>32.7</v>
      </c>
      <c r="C266" s="35" t="str">
        <f aca="false">IF(AND(H266&lt;='Search Criteria'!$B$5,D266&gt;='Search Criteria'!$B$6,AQ266&lt;='Search Criteria'!$B$7,I266&lt;=INDEX('Search Criteria'!$B$18:$B$20,MATCH(E266,'Search Criteria'!$A$18:$A$20,0)),OR(NOT('Search Criteria'!$B$8),L266&lt;&gt;"FWD"),OR(NOT('Search Criteria'!$B$9),T266="Yes"),OR(NOT('Search Criteria'!$B$10),W266&gt;0),OR(NOT('Search Criteria'!$B$11),X266="Yes"),OR(NOT('Search Criteria'!$B$12),O266="GREAT",O266="GOOD"),OR(NOT('Search Criteria'!$B$13),K266="Yes")),"YES","no")</f>
        <v>no</v>
      </c>
      <c r="D266" s="33" t="n">
        <v>2023</v>
      </c>
      <c r="E266" s="8" t="s">
        <v>95</v>
      </c>
      <c r="F266" s="8" t="s">
        <v>234</v>
      </c>
      <c r="G266" s="8" t="s">
        <v>407</v>
      </c>
      <c r="H266" s="45" t="n">
        <v>25253</v>
      </c>
      <c r="I266" s="46" t="n">
        <v>56958</v>
      </c>
      <c r="J266" s="37" t="n">
        <f aca="false">IFERROR(ROUND(I266/MAX(2026-D266,0.5),0),"")</f>
        <v>18986</v>
      </c>
      <c r="K266" s="35" t="s">
        <v>259</v>
      </c>
      <c r="L266" s="35" t="s">
        <v>256</v>
      </c>
      <c r="M266" s="35" t="s">
        <v>257</v>
      </c>
      <c r="N266" s="33" t="n">
        <v>28</v>
      </c>
      <c r="O266" s="35" t="s">
        <v>276</v>
      </c>
      <c r="P266" s="45" t="n">
        <v>25030</v>
      </c>
      <c r="Q266" s="38" t="n">
        <v>-0.009</v>
      </c>
      <c r="R266" s="35" t="s">
        <v>277</v>
      </c>
      <c r="S266" s="45"/>
      <c r="T266" s="35" t="s">
        <v>259</v>
      </c>
      <c r="U266" s="33" t="n">
        <v>1</v>
      </c>
      <c r="V266" s="35" t="s">
        <v>259</v>
      </c>
      <c r="W266" s="33" t="n">
        <v>13</v>
      </c>
      <c r="X266" s="35" t="s">
        <v>255</v>
      </c>
      <c r="Y266" s="35" t="s">
        <v>255</v>
      </c>
      <c r="Z266" s="35" t="s">
        <v>259</v>
      </c>
      <c r="AA266" s="35" t="s">
        <v>259</v>
      </c>
      <c r="AB266" s="35" t="s">
        <v>259</v>
      </c>
      <c r="AC266" s="35" t="s">
        <v>259</v>
      </c>
      <c r="AD266" s="35" t="s">
        <v>255</v>
      </c>
      <c r="AE266" s="35" t="s">
        <v>259</v>
      </c>
      <c r="AF266" s="35" t="s">
        <v>259</v>
      </c>
      <c r="AG266" s="35" t="s">
        <v>259</v>
      </c>
      <c r="AH266" s="35" t="s">
        <v>259</v>
      </c>
      <c r="AI266" s="35" t="s">
        <v>255</v>
      </c>
      <c r="AJ266" s="35" t="s">
        <v>259</v>
      </c>
      <c r="AK266" s="8" t="s">
        <v>260</v>
      </c>
      <c r="AL266" s="8" t="s">
        <v>260</v>
      </c>
      <c r="AM266" s="8" t="s">
        <v>278</v>
      </c>
      <c r="AN266" s="8" t="s">
        <v>614</v>
      </c>
      <c r="AO266" s="8" t="s">
        <v>340</v>
      </c>
      <c r="AP266" s="35" t="s">
        <v>265</v>
      </c>
      <c r="AQ266" s="39" t="n">
        <v>60.2</v>
      </c>
      <c r="AR266" s="39" t="n">
        <v>4.6</v>
      </c>
      <c r="AS266" s="33" t="n">
        <v>44</v>
      </c>
      <c r="AT266" s="45"/>
      <c r="AU266" s="45" t="n">
        <v>451.11</v>
      </c>
      <c r="AV266" s="45" t="n">
        <v>262</v>
      </c>
      <c r="AW266" s="39" t="n">
        <v>66.5</v>
      </c>
      <c r="AX266" s="39" t="n">
        <v>55.3</v>
      </c>
      <c r="AY266" s="39" t="n">
        <v>0</v>
      </c>
      <c r="AZ266" s="39" t="n">
        <v>16</v>
      </c>
      <c r="BA266" s="39" t="n">
        <v>0</v>
      </c>
      <c r="BB266" s="39" t="n">
        <v>19.8</v>
      </c>
      <c r="BC266" s="8" t="s">
        <v>913</v>
      </c>
      <c r="BD266" s="47" t="s">
        <v>632</v>
      </c>
      <c r="BE266" s="41" t="s">
        <v>914</v>
      </c>
    </row>
  </sheetData>
  <autoFilter ref="A4:BE266"/>
  <conditionalFormatting sqref="B5:B266">
    <cfRule type="colorScale" priority="2">
      <colorScale>
        <cfvo type="min" val="0"/>
        <cfvo type="percentile" val="50"/>
        <cfvo type="max" val="0"/>
        <color rgb="FFF8696B"/>
        <color rgb="FFFFEB84"/>
        <color rgb="FF63BE7B"/>
      </colorScale>
    </cfRule>
  </conditionalFormatting>
  <conditionalFormatting sqref="C5:C266">
    <cfRule type="cellIs" priority="3" operator="equal" aboveAverage="0" equalAverage="0" bottom="0" percent="0" rank="0" text="" dxfId="42">
      <formula>"YES"</formula>
    </cfRule>
  </conditionalFormatting>
  <hyperlinks>
    <hyperlink ref="BD5" r:id="rId1" display="2026 Honda CR-V"/>
    <hyperlink ref="BD6" r:id="rId2" display="2025 Honda CR-V"/>
    <hyperlink ref="BD7" r:id="rId3" display="2025 Subaru Outback"/>
    <hyperlink ref="BD8" r:id="rId4" display="2025 Toyota RAV4"/>
    <hyperlink ref="BD9" r:id="rId5" display="2025 Subaru Outback"/>
    <hyperlink ref="BD10" r:id="rId6" display="2025 Toyota RAV4"/>
    <hyperlink ref="BD11" r:id="rId7" display="2024 Honda CR-V"/>
    <hyperlink ref="BD12" r:id="rId8" display="2024 Honda CR-V"/>
    <hyperlink ref="BD13" r:id="rId9" display="2026 Honda CR-V"/>
    <hyperlink ref="BD14" r:id="rId10" display="2023 Honda HR-V"/>
    <hyperlink ref="BD15" r:id="rId11" display="2024 Honda HR-V"/>
    <hyperlink ref="BD16" r:id="rId12" display="2025 Subaru Outback"/>
    <hyperlink ref="BD17" r:id="rId13" display="2023 Honda CR-V"/>
    <hyperlink ref="BD18" r:id="rId14" display="2025 Honda CR-V"/>
    <hyperlink ref="BD19" r:id="rId15" display="2025 Honda CR-V"/>
    <hyperlink ref="BD20" r:id="rId16" display="2025 Toyota RAV4"/>
    <hyperlink ref="BD21" r:id="rId17" display="2025 Toyota RAV4"/>
    <hyperlink ref="BD22" r:id="rId18" display="2024 Toyota RAV4"/>
    <hyperlink ref="BD23" r:id="rId19" display="2024 Honda CR-V"/>
    <hyperlink ref="BD24" r:id="rId20" display="2023 Honda CR-V"/>
    <hyperlink ref="BD25" r:id="rId21" display="2024 Honda HR-V"/>
    <hyperlink ref="BD26" r:id="rId22" display="2025 Toyota RAV4"/>
    <hyperlink ref="BD27" r:id="rId23" display="2024 Honda CR-V"/>
    <hyperlink ref="BD28" r:id="rId24" display="2024 Honda HR-V"/>
    <hyperlink ref="BD29" r:id="rId25" display="2024 Honda CR-V"/>
    <hyperlink ref="BD30" r:id="rId26" display="2022 Toyota RAV4"/>
    <hyperlink ref="BD31" r:id="rId27" display="2024 Honda CR-V"/>
    <hyperlink ref="BD32" r:id="rId28" display="2025 Toyota RAV4"/>
    <hyperlink ref="BD33" r:id="rId29" display="2025 Toyota RAV4"/>
    <hyperlink ref="BD34" r:id="rId30" display="2024 Honda CR-V"/>
    <hyperlink ref="BD35" r:id="rId31" display="2025 Subaru Outback"/>
    <hyperlink ref="BD36" r:id="rId32" display="2024 Honda CR-V"/>
    <hyperlink ref="BD37" r:id="rId33" display="2025 Subaru Outback"/>
    <hyperlink ref="BD38" r:id="rId34" display="2025 Toyota RAV4"/>
    <hyperlink ref="BD39" r:id="rId35" display="2025 Honda HR-V"/>
    <hyperlink ref="BD40" r:id="rId36" display="2025 Toyota RAV4"/>
    <hyperlink ref="BD41" r:id="rId37" display="2025 Honda CR-V"/>
    <hyperlink ref="BD42" r:id="rId38" display="2025 Toyota RAV4"/>
    <hyperlink ref="BD43" r:id="rId39" display="2022 Toyota RAV4"/>
    <hyperlink ref="BD44" r:id="rId40" display="2024 Honda CR-V"/>
    <hyperlink ref="BD45" r:id="rId41" display="2025 Subaru Outback"/>
    <hyperlink ref="BD46" r:id="rId42" display="2025 Toyota RAV4"/>
    <hyperlink ref="BD47" r:id="rId43" display="2026 Subaru Outback"/>
    <hyperlink ref="BD48" r:id="rId44" display="2024 Honda CR-V"/>
    <hyperlink ref="BD49" r:id="rId45" display="2025 Toyota RAV4"/>
    <hyperlink ref="BD50" r:id="rId46" display="2025 Honda CR-V"/>
    <hyperlink ref="BD51" r:id="rId47" display="2025 Toyota RAV4"/>
    <hyperlink ref="BD52" r:id="rId48" display="2024 Honda CR-V"/>
    <hyperlink ref="BD53" r:id="rId49" display="2024 Subaru Outback"/>
    <hyperlink ref="BD54" r:id="rId50" display="2024 Subaru Outback"/>
    <hyperlink ref="BD55" r:id="rId51" display="2022 Honda CR-V"/>
    <hyperlink ref="BD56" r:id="rId52" display="2023 Honda CR-V"/>
    <hyperlink ref="BD57" r:id="rId53" display="2025 Honda CR-V"/>
    <hyperlink ref="BD58" r:id="rId54" display="2025 Honda HR-V"/>
    <hyperlink ref="BD59" r:id="rId55" display="2024 Honda CR-V"/>
    <hyperlink ref="BD60" r:id="rId56" display="2025 Honda CR-V"/>
    <hyperlink ref="BD61" r:id="rId57" display="2025 Honda CR-V"/>
    <hyperlink ref="BD62" r:id="rId58" display="2025 Toyota RAV4"/>
    <hyperlink ref="BD63" r:id="rId59" display="2025 Honda CR-V"/>
    <hyperlink ref="BD64" r:id="rId60" display="2023 Honda CR-V"/>
    <hyperlink ref="BD65" r:id="rId61" display="2023 Toyota RAV4"/>
    <hyperlink ref="BD66" r:id="rId62" display="2024 Toyota RAV4"/>
    <hyperlink ref="BD67" r:id="rId63" display="2023 Honda CR-V"/>
    <hyperlink ref="BD68" r:id="rId64" display="2024 Toyota RAV4"/>
    <hyperlink ref="BD69" r:id="rId65" display="2025 Honda CR-V"/>
    <hyperlink ref="BD70" r:id="rId66" display="2024 Toyota RAV4"/>
    <hyperlink ref="BD71" r:id="rId67" display="2025 Toyota RAV4"/>
    <hyperlink ref="BD72" r:id="rId68" display="2024 Honda CR-V"/>
    <hyperlink ref="BD73" r:id="rId69" display="2023 Honda CR-V"/>
    <hyperlink ref="BD74" r:id="rId70" display="2024 Honda CR-V"/>
    <hyperlink ref="BD75" r:id="rId71" display="2026 Honda CR-V"/>
    <hyperlink ref="BD76" r:id="rId72" display="2024 Honda CR-V"/>
    <hyperlink ref="BD77" r:id="rId73" display="2022 Toyota 4Runner"/>
    <hyperlink ref="BD78" r:id="rId74" display="2025 Honda CR-V"/>
    <hyperlink ref="BD79" r:id="rId75" display="2024 Toyota RAV4"/>
    <hyperlink ref="BD80" r:id="rId76" display="2024 Honda HR-V"/>
    <hyperlink ref="BD81" r:id="rId77" display="2026 Honda CR-V"/>
    <hyperlink ref="BD82" r:id="rId78" display="2025 Toyota RAV4"/>
    <hyperlink ref="BD83" r:id="rId79" display="2022 Honda CR-V"/>
    <hyperlink ref="BD84" r:id="rId80" display="2024 Toyota RAV4"/>
    <hyperlink ref="BD85" r:id="rId81" display="2023 Honda CR-V"/>
    <hyperlink ref="BD86" r:id="rId82" display="2023 Toyota RAV4"/>
    <hyperlink ref="BD87" r:id="rId83" display="2024 Subaru Outback"/>
    <hyperlink ref="BD88" r:id="rId84" display="2022 Toyota RAV4"/>
    <hyperlink ref="BD89" r:id="rId85" display="2025 Toyota RAV4"/>
    <hyperlink ref="BD90" r:id="rId86" display="2024 Subaru Outback"/>
    <hyperlink ref="BD91" r:id="rId87" display="2022 Toyota RAV4"/>
    <hyperlink ref="BD92" r:id="rId88" display="2025 Honda CR-V"/>
    <hyperlink ref="BD93" r:id="rId89" display="2024 Subaru Outback"/>
    <hyperlink ref="BD94" r:id="rId90" display="2025 Honda CR-V"/>
    <hyperlink ref="BD95" r:id="rId91" display="2024 Honda CR-V"/>
    <hyperlink ref="BD96" r:id="rId92" display="2022 Toyota 4Runner"/>
    <hyperlink ref="BD97" r:id="rId93" display="2022 Toyota RAV4"/>
    <hyperlink ref="BD98" r:id="rId94" display="2025 Honda CR-V"/>
    <hyperlink ref="BD99" r:id="rId95" display="2024 Subaru Outback"/>
    <hyperlink ref="BD100" r:id="rId96" display="2024 Honda CR-V"/>
    <hyperlink ref="BD101" r:id="rId97" display="2025 Honda CR-V"/>
    <hyperlink ref="BD102" r:id="rId98" display="2022 Toyota RAV4"/>
    <hyperlink ref="BD103" r:id="rId99" display="2025 Toyota RAV4"/>
    <hyperlink ref="BD104" r:id="rId100" display="2025 Toyota RAV4"/>
    <hyperlink ref="BD105" r:id="rId101" display="2023 Honda CR-V"/>
    <hyperlink ref="BD106" r:id="rId102" display="2025 Subaru Outback"/>
    <hyperlink ref="BD107" r:id="rId103" display="2024 Honda CR-V"/>
    <hyperlink ref="BD108" r:id="rId104" display="2023 Honda CR-V"/>
    <hyperlink ref="BD109" r:id="rId105" display="2024 Honda CR-V"/>
    <hyperlink ref="BD110" r:id="rId106" display="2024 Subaru Outback"/>
    <hyperlink ref="BD111" r:id="rId107" display="2025 Toyota RAV4"/>
    <hyperlink ref="BD112" r:id="rId108" display="2023 Honda CR-V"/>
    <hyperlink ref="BD113" r:id="rId109" display="2024 Toyota RAV4"/>
    <hyperlink ref="BD114" r:id="rId110" display="2022 Honda CR-V"/>
    <hyperlink ref="BD115" r:id="rId111" display="2025 Toyota RAV4"/>
    <hyperlink ref="BD116" r:id="rId112" display="2025 Toyota RAV4"/>
    <hyperlink ref="BD117" r:id="rId113" display="2023 Toyota 4Runner"/>
    <hyperlink ref="BD118" r:id="rId114" display="2022 Toyota RAV4"/>
    <hyperlink ref="BD119" r:id="rId115" display="2024 Toyota RAV4"/>
    <hyperlink ref="BD120" r:id="rId116" display="2024 Toyota RAV4"/>
    <hyperlink ref="BD121" r:id="rId117" display="2023 Honda CR-V"/>
    <hyperlink ref="BD122" r:id="rId118" display="2022 Toyota RAV4"/>
    <hyperlink ref="BD123" r:id="rId119" display="2023 Honda CR-V"/>
    <hyperlink ref="BD124" r:id="rId120" display="2024 Honda CR-V"/>
    <hyperlink ref="BD125" r:id="rId121" display="2024 Toyota RAV4"/>
    <hyperlink ref="BD126" r:id="rId122" display="2025 Honda CR-V"/>
    <hyperlink ref="BD127" r:id="rId123" display="2025 Subaru Outback"/>
    <hyperlink ref="BD128" r:id="rId124" display="2024 Honda CR-V"/>
    <hyperlink ref="BD129" r:id="rId125" display="2022 Toyota RAV4"/>
    <hyperlink ref="BD130" r:id="rId126" display="2022 Honda CR-V"/>
    <hyperlink ref="BD131" r:id="rId127" display="2024 Toyota RAV4"/>
    <hyperlink ref="BD132" r:id="rId128" display="2024 Toyota RAV4"/>
    <hyperlink ref="BD133" r:id="rId129" display="2025 Toyota RAV4"/>
    <hyperlink ref="BD134" r:id="rId130" display="2022 Toyota RAV4"/>
    <hyperlink ref="BD135" r:id="rId131" display="2023 Toyota RAV4"/>
    <hyperlink ref="BD136" r:id="rId132" display="2023 Toyota 4Runner"/>
    <hyperlink ref="BD137" r:id="rId133" display="2025 Toyota RAV4"/>
    <hyperlink ref="BD138" r:id="rId134" display="2025 Honda CR-V"/>
    <hyperlink ref="BD139" r:id="rId135" display="2022 Toyota RAV4"/>
    <hyperlink ref="BD140" r:id="rId136" display="2024 Toyota RAV4"/>
    <hyperlink ref="BD141" r:id="rId137" display="2023 Subaru Outback"/>
    <hyperlink ref="BD142" r:id="rId138" display="2024 Toyota RAV4"/>
    <hyperlink ref="BD143" r:id="rId139" display="2022 Toyota RAV4"/>
    <hyperlink ref="BD144" r:id="rId140" display="2023 Subaru Outback"/>
    <hyperlink ref="BD145" r:id="rId141" display="2025 Toyota RAV4"/>
    <hyperlink ref="BD146" r:id="rId142" display="2024 Toyota RAV4"/>
    <hyperlink ref="BD147" r:id="rId143" display="2025 Toyota RAV4"/>
    <hyperlink ref="BD148" r:id="rId144" display="2022 Toyota RAV4"/>
    <hyperlink ref="BD149" r:id="rId145" display="2022 Toyota RAV4"/>
    <hyperlink ref="BD150" r:id="rId146" display="2025 Subaru Outback"/>
    <hyperlink ref="BD151" r:id="rId147" display="2024 Toyota RAV4"/>
    <hyperlink ref="BD152" r:id="rId148" display="2022 Toyota RAV4"/>
    <hyperlink ref="BD153" r:id="rId149" display="2024 Toyota RAV4"/>
    <hyperlink ref="BD154" r:id="rId150" display="2025 Toyota RAV4"/>
    <hyperlink ref="BD155" r:id="rId151" display="2023 Honda HR-V"/>
    <hyperlink ref="BD156" r:id="rId152" display="2024 Honda CR-V"/>
    <hyperlink ref="BD157" r:id="rId153" display="2023 Honda CR-V"/>
    <hyperlink ref="BD158" r:id="rId154" display="2024 Subaru Outback"/>
    <hyperlink ref="BD159" r:id="rId155" display="2025 Honda HR-V"/>
    <hyperlink ref="BD160" r:id="rId156" display="2025 Toyota RAV4"/>
    <hyperlink ref="BD161" r:id="rId157" display="2025 Toyota RAV4"/>
    <hyperlink ref="BD162" r:id="rId158" display="2024 Subaru Outback"/>
    <hyperlink ref="BD163" r:id="rId159" display="2024 Honda CR-V"/>
    <hyperlink ref="BD164" r:id="rId160" display="2024 Subaru Outback"/>
    <hyperlink ref="BD165" r:id="rId161" display="2025 Toyota RAV4"/>
    <hyperlink ref="BD166" r:id="rId162" display="2025 Toyota RAV4"/>
    <hyperlink ref="BD167" r:id="rId163" display="2025 Toyota RAV4"/>
    <hyperlink ref="BD168" r:id="rId164" display="2025 Subaru Outback"/>
    <hyperlink ref="BD169" r:id="rId165" display="2024 Honda HR-V"/>
    <hyperlink ref="BD170" r:id="rId166" display="2023 Subaru Outback"/>
    <hyperlink ref="BD171" r:id="rId167" display="2025 Toyota RAV4"/>
    <hyperlink ref="BD172" r:id="rId168" display="2025 Toyota RAV4"/>
    <hyperlink ref="BD173" r:id="rId169" display="2025 Toyota RAV4"/>
    <hyperlink ref="BD174" r:id="rId170" display="2024 Honda CR-V"/>
    <hyperlink ref="BD175" r:id="rId171" display="2024 Toyota RAV4"/>
    <hyperlink ref="BD176" r:id="rId172" display="2025 Honda CR-V"/>
    <hyperlink ref="BD177" r:id="rId173" display="2025 Toyota RAV4"/>
    <hyperlink ref="BD178" r:id="rId174" display="2023 Honda CR-V"/>
    <hyperlink ref="BD179" r:id="rId175" display="2024 Subaru Outback"/>
    <hyperlink ref="BD180" r:id="rId176" display="2022 Honda CR-V"/>
    <hyperlink ref="BD181" r:id="rId177" display="2022 Subaru Outback"/>
    <hyperlink ref="BD182" r:id="rId178" display="2025 Toyota RAV4"/>
    <hyperlink ref="BD183" r:id="rId179" display="2025 Toyota RAV4"/>
    <hyperlink ref="BD184" r:id="rId180" display="2022 Toyota RAV4"/>
    <hyperlink ref="BD185" r:id="rId181" display="2025 Toyota RAV4"/>
    <hyperlink ref="BD186" r:id="rId182" display="2024 Subaru Outback"/>
    <hyperlink ref="BD187" r:id="rId183" display="2024 Toyota RAV4"/>
    <hyperlink ref="BD188" r:id="rId184" display="2025 Toyota RAV4"/>
    <hyperlink ref="BD189" r:id="rId185" display="2023 Toyota RAV4"/>
    <hyperlink ref="BD190" r:id="rId186" display="2022 Toyota RAV4"/>
    <hyperlink ref="BD191" r:id="rId187" display="2022 Subaru Outback"/>
    <hyperlink ref="BD192" r:id="rId188" display="2022 Toyota RAV4"/>
    <hyperlink ref="BD193" r:id="rId189" display="2025 Toyota RAV4"/>
    <hyperlink ref="BD194" r:id="rId190" display="2024 Subaru Outback"/>
    <hyperlink ref="BD195" r:id="rId191" display="2024 Honda HR-V"/>
    <hyperlink ref="BD196" r:id="rId192" display="2025 Toyota RAV4"/>
    <hyperlink ref="BD197" r:id="rId193" display="2025 Subaru Outback"/>
    <hyperlink ref="BD198" r:id="rId194" display="2024 Subaru Outback"/>
    <hyperlink ref="BD199" r:id="rId195" display="2023 Subaru Outback"/>
    <hyperlink ref="BD200" r:id="rId196" display="2025 Toyota RAV4"/>
    <hyperlink ref="BD201" r:id="rId197" display="2023 Subaru Outback"/>
    <hyperlink ref="BD202" r:id="rId198" display="2025 Toyota RAV4"/>
    <hyperlink ref="BD203" r:id="rId199" display="2022 Toyota RAV4"/>
    <hyperlink ref="BD204" r:id="rId200" display="2024 Honda CR-V"/>
    <hyperlink ref="BD205" r:id="rId201" display="2023 Toyota RAV4"/>
    <hyperlink ref="BD206" r:id="rId202" display="2022 Toyota RAV4"/>
    <hyperlink ref="BD207" r:id="rId203" display="2025 Toyota RAV4"/>
    <hyperlink ref="BD208" r:id="rId204" display="2023 Subaru Outback"/>
    <hyperlink ref="BD209" r:id="rId205" display="2025 Toyota RAV4"/>
    <hyperlink ref="BD210" r:id="rId206" display="2024 Honda HR-V"/>
    <hyperlink ref="BD211" r:id="rId207" display="2022 Toyota RAV4"/>
    <hyperlink ref="BD212" r:id="rId208" display="2024 Honda HR-V"/>
    <hyperlink ref="BD213" r:id="rId209" display="2025 Toyota RAV4"/>
    <hyperlink ref="BD214" r:id="rId210" display="2024 Toyota RAV4"/>
    <hyperlink ref="BD215" r:id="rId211" display="2024 Subaru Outback"/>
    <hyperlink ref="BD216" r:id="rId212" display="2023 Honda HR-V"/>
    <hyperlink ref="BD217" r:id="rId213" display="2024 Toyota RAV4"/>
    <hyperlink ref="BD218" r:id="rId214" display="2025 Toyota RAV4"/>
    <hyperlink ref="BD219" r:id="rId215" display="2025 Subaru Outback"/>
    <hyperlink ref="BD220" r:id="rId216" display="2022 Toyota RAV4"/>
    <hyperlink ref="BD221" r:id="rId217" display="2025 Toyota RAV4"/>
    <hyperlink ref="BD222" r:id="rId218" display="2023 Subaru Outback"/>
    <hyperlink ref="BD223" r:id="rId219" display="2025 Toyota RAV4"/>
    <hyperlink ref="BD224" r:id="rId220" display="2024 Subaru Outback"/>
    <hyperlink ref="BD225" r:id="rId221" display="2025 Toyota RAV4"/>
    <hyperlink ref="BD226" r:id="rId222" display="2025 Toyota RAV4"/>
    <hyperlink ref="BD227" r:id="rId223" display="2025 Honda HR-V"/>
    <hyperlink ref="BD228" r:id="rId224" display="2024 Toyota RAV4"/>
    <hyperlink ref="BD229" r:id="rId225" display="2025 Toyota RAV4"/>
    <hyperlink ref="BD230" r:id="rId226" display="2025 Toyota RAV4"/>
    <hyperlink ref="BD231" r:id="rId227" display="2022 Toyota RAV4"/>
    <hyperlink ref="BD232" r:id="rId228" display="2023 Toyota RAV4"/>
    <hyperlink ref="BD233" r:id="rId229" display="2024 Honda HR-V"/>
    <hyperlink ref="BD234" r:id="rId230" display="2025 Toyota RAV4"/>
    <hyperlink ref="BD235" r:id="rId231" display="2022 Toyota RAV4"/>
    <hyperlink ref="BD236" r:id="rId232" display="2025 Toyota RAV4"/>
    <hyperlink ref="BD237" r:id="rId233" display="2025 Honda HR-V"/>
    <hyperlink ref="BD238" r:id="rId234" display="2023 Toyota RAV4"/>
    <hyperlink ref="BD239" r:id="rId235" display="2023 Subaru Outback"/>
    <hyperlink ref="BD240" r:id="rId236" display="2024 Subaru Outback"/>
    <hyperlink ref="BD241" r:id="rId237" display="2023 Toyota RAV4"/>
    <hyperlink ref="BD242" r:id="rId238" display="2025 Toyota RAV4"/>
    <hyperlink ref="BD243" r:id="rId239" display="2024 Subaru Outback"/>
    <hyperlink ref="BD244" r:id="rId240" display="2025 Toyota RAV4"/>
    <hyperlink ref="BD245" r:id="rId241" display="2023 Subaru Outback"/>
    <hyperlink ref="BD246" r:id="rId242" display="2024 Subaru Outback"/>
    <hyperlink ref="BD247" r:id="rId243" display="2024 Subaru Outback"/>
    <hyperlink ref="BD248" r:id="rId244" display="2024 Toyota RAV4"/>
    <hyperlink ref="BD249" r:id="rId245" display="2024 Subaru Outback"/>
    <hyperlink ref="BD250" r:id="rId246" display="2024 Honda CR-V"/>
    <hyperlink ref="BD251" r:id="rId247" display="2023 Toyota RAV4"/>
    <hyperlink ref="BD252" r:id="rId248" display="2023 Honda CR-V"/>
    <hyperlink ref="BD253" r:id="rId249" display="2023 Subaru Outback"/>
    <hyperlink ref="BD254" r:id="rId250" display="2025 Toyota RAV4"/>
    <hyperlink ref="BD255" r:id="rId251" display="2023 Toyota RAV4"/>
    <hyperlink ref="BD256" r:id="rId252" display="2023 Toyota RAV4"/>
    <hyperlink ref="BD257" r:id="rId253" display="2023 Toyota RAV4"/>
    <hyperlink ref="BD258" r:id="rId254" display="2023 Subaru Outback"/>
    <hyperlink ref="BD259" r:id="rId255" display="2025 Toyota RAV4"/>
    <hyperlink ref="BD260" r:id="rId256" display="2024 Honda HR-V"/>
    <hyperlink ref="BD261" r:id="rId257" display="2024 Subaru Outback"/>
    <hyperlink ref="BD262" r:id="rId258" display="2022 Toyota RAV4"/>
    <hyperlink ref="BD263" r:id="rId259" display="2024 Toyota RAV4"/>
    <hyperlink ref="BD264" r:id="rId260" display="2024 Subaru Outback"/>
    <hyperlink ref="BD265" r:id="rId261" display="2022 Subaru Outback"/>
    <hyperlink ref="BD266" r:id="rId262" display="2023 Subaru Outbac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2026-09-14T15:07:39Z</dcterms:created>
  <dc:creator>openpyxl</dc:creator>
  <dc:description/>
  <dc:language>en-US</dc:language>
  <cp:lastModifiedBy/>
  <dcterms:modified xsi:type="dcterms:W3CDTF">2026-09-14T15:07:41Z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